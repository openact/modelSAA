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T:\06 ALM\08. SAA\2025\07. SAA 散点图模型\Yield module\"/>
    </mc:Choice>
  </mc:AlternateContent>
  <xr:revisionPtr revIDLastSave="0" documentId="13_ncr:1_{5D2D9AE7-E4D1-4813-866A-23048A940ECD}" xr6:coauthVersionLast="47" xr6:coauthVersionMax="47" xr10:uidLastSave="{00000000-0000-0000-0000-000000000000}"/>
  <bookViews>
    <workbookView xWindow="1035" yWindow="-120" windowWidth="27885" windowHeight="16440" xr2:uid="{00000000-000D-0000-FFFF-FFFF00000000}"/>
  </bookViews>
  <sheets>
    <sheet name="Yield Curve_USD_workflow" sheetId="1" r:id="rId1"/>
    <sheet name="Input Table -&gt;" sheetId="8" r:id="rId2"/>
    <sheet name="AssetAssump" sheetId="2" r:id="rId3"/>
    <sheet name="InititalAssetMix" sheetId="3" r:id="rId4"/>
    <sheet name="OtherAssump" sheetId="4" r:id="rId5"/>
    <sheet name="ExisitngBond" sheetId="5" r:id="rId6"/>
    <sheet name="LiabilityCF" sheetId="6" r:id="rId7"/>
  </sheets>
  <externalReferences>
    <externalReference r:id="rId8"/>
  </externalReferenc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2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D106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98" i="1"/>
  <c r="D95" i="1"/>
  <c r="D96" i="1"/>
  <c r="D97" i="1"/>
  <c r="D98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D110" i="1"/>
  <c r="C101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D112" i="1" s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C35" i="1"/>
  <c r="C34" i="1"/>
  <c r="C36" i="1" s="1"/>
  <c r="C37" i="1" s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C31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C30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C29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C28" i="1"/>
  <c r="D11" i="1"/>
  <c r="C38" i="1" l="1"/>
  <c r="DX59" i="1" s="1"/>
  <c r="D113" i="1"/>
  <c r="AW59" i="1"/>
  <c r="BL59" i="1"/>
  <c r="CB59" i="1"/>
  <c r="CR59" i="1"/>
  <c r="DH59" i="1"/>
  <c r="EE59" i="1"/>
  <c r="DW59" i="1"/>
  <c r="DO59" i="1"/>
  <c r="DG59" i="1"/>
  <c r="CY59" i="1"/>
  <c r="CQ59" i="1"/>
  <c r="CI59" i="1"/>
  <c r="CA59" i="1"/>
  <c r="BS59" i="1"/>
  <c r="BK59" i="1"/>
  <c r="EK59" i="1"/>
  <c r="EC59" i="1"/>
  <c r="DU59" i="1"/>
  <c r="DM59" i="1"/>
  <c r="DE59" i="1"/>
  <c r="CW59" i="1"/>
  <c r="CO59" i="1"/>
  <c r="CG59" i="1"/>
  <c r="BY59" i="1"/>
  <c r="BQ59" i="1"/>
  <c r="BI59" i="1"/>
  <c r="BA59" i="1"/>
  <c r="AS59" i="1"/>
  <c r="EJ59" i="1"/>
  <c r="EB59" i="1"/>
  <c r="DT59" i="1"/>
  <c r="DL59" i="1"/>
  <c r="DD59" i="1"/>
  <c r="CV59" i="1"/>
  <c r="CN59" i="1"/>
  <c r="CF59" i="1"/>
  <c r="BX59" i="1"/>
  <c r="BP59" i="1"/>
  <c r="BH59" i="1"/>
  <c r="AZ59" i="1"/>
  <c r="AR59" i="1"/>
  <c r="AJ59" i="1"/>
  <c r="EI59" i="1"/>
  <c r="EA59" i="1"/>
  <c r="DS59" i="1"/>
  <c r="DK59" i="1"/>
  <c r="DC59" i="1"/>
  <c r="CU59" i="1"/>
  <c r="CM59" i="1"/>
  <c r="CE59" i="1"/>
  <c r="BW59" i="1"/>
  <c r="BO59" i="1"/>
  <c r="BG59" i="1"/>
  <c r="AY59" i="1"/>
  <c r="AQ59" i="1"/>
  <c r="AI59" i="1"/>
  <c r="EL59" i="1"/>
  <c r="DV59" i="1"/>
  <c r="DF59" i="1"/>
  <c r="CP59" i="1"/>
  <c r="BZ59" i="1"/>
  <c r="BJ59" i="1"/>
  <c r="AV59" i="1"/>
  <c r="AK59" i="1"/>
  <c r="EH59" i="1"/>
  <c r="DR59" i="1"/>
  <c r="DB59" i="1"/>
  <c r="CL59" i="1"/>
  <c r="BV59" i="1"/>
  <c r="BF59" i="1"/>
  <c r="AU59" i="1"/>
  <c r="EG59" i="1"/>
  <c r="DQ59" i="1"/>
  <c r="DA59" i="1"/>
  <c r="CK59" i="1"/>
  <c r="BU59" i="1"/>
  <c r="BE59" i="1"/>
  <c r="AT59" i="1"/>
  <c r="EF59" i="1"/>
  <c r="DP59" i="1"/>
  <c r="CZ59" i="1"/>
  <c r="CJ59" i="1"/>
  <c r="BT59" i="1"/>
  <c r="BD59" i="1"/>
  <c r="AP59" i="1"/>
  <c r="ED59" i="1"/>
  <c r="DN59" i="1"/>
  <c r="CX59" i="1"/>
  <c r="CH59" i="1"/>
  <c r="BR59" i="1"/>
  <c r="BC59" i="1"/>
  <c r="AO59" i="1"/>
  <c r="DZ59" i="1"/>
  <c r="DJ59" i="1"/>
  <c r="CT59" i="1"/>
  <c r="CD59" i="1"/>
  <c r="BN59" i="1"/>
  <c r="BB59" i="1"/>
  <c r="AN59" i="1"/>
  <c r="DY59" i="1"/>
  <c r="DI59" i="1"/>
  <c r="CS59" i="1"/>
  <c r="CC59" i="1"/>
  <c r="BM59" i="1"/>
  <c r="AX59" i="1"/>
  <c r="AM59" i="1"/>
  <c r="AL59" i="1"/>
  <c r="D28" i="1"/>
  <c r="B16" i="1" l="1"/>
  <c r="B17" i="1" s="1"/>
  <c r="C90" i="1"/>
  <c r="C104" i="1" s="1"/>
  <c r="C117" i="1" s="1"/>
  <c r="C63" i="1" s="1"/>
  <c r="D90" i="1"/>
  <c r="D104" i="1" s="1"/>
  <c r="D117" i="1" s="1"/>
  <c r="D63" i="1" s="1"/>
  <c r="E90" i="1"/>
  <c r="E104" i="1" s="1"/>
  <c r="E117" i="1" s="1"/>
  <c r="E63" i="1" s="1"/>
  <c r="F90" i="1"/>
  <c r="F104" i="1" s="1"/>
  <c r="F117" i="1" s="1"/>
  <c r="F63" i="1" s="1"/>
  <c r="G90" i="1"/>
  <c r="G104" i="1" s="1"/>
  <c r="G117" i="1" s="1"/>
  <c r="G63" i="1" s="1"/>
  <c r="H90" i="1"/>
  <c r="H104" i="1" s="1"/>
  <c r="H117" i="1" s="1"/>
  <c r="H63" i="1" s="1"/>
  <c r="I90" i="1"/>
  <c r="J90" i="1"/>
  <c r="J104" i="1" s="1"/>
  <c r="J117" i="1" s="1"/>
  <c r="J63" i="1" s="1"/>
  <c r="K90" i="1"/>
  <c r="L90" i="1"/>
  <c r="L104" i="1" s="1"/>
  <c r="L117" i="1" s="1"/>
  <c r="L63" i="1" s="1"/>
  <c r="M90" i="1"/>
  <c r="M104" i="1" s="1"/>
  <c r="M117" i="1" s="1"/>
  <c r="M63" i="1" s="1"/>
  <c r="N90" i="1"/>
  <c r="N104" i="1" s="1"/>
  <c r="N117" i="1" s="1"/>
  <c r="N63" i="1" s="1"/>
  <c r="O90" i="1"/>
  <c r="O104" i="1" s="1"/>
  <c r="O117" i="1" s="1"/>
  <c r="O63" i="1" s="1"/>
  <c r="P90" i="1"/>
  <c r="P104" i="1" s="1"/>
  <c r="P117" i="1" s="1"/>
  <c r="P63" i="1" s="1"/>
  <c r="Q90" i="1"/>
  <c r="R90" i="1"/>
  <c r="R104" i="1" s="1"/>
  <c r="R117" i="1" s="1"/>
  <c r="R63" i="1" s="1"/>
  <c r="S90" i="1"/>
  <c r="S104" i="1" s="1"/>
  <c r="S117" i="1" s="1"/>
  <c r="S63" i="1" s="1"/>
  <c r="T90" i="1"/>
  <c r="T104" i="1" s="1"/>
  <c r="T117" i="1" s="1"/>
  <c r="T63" i="1" s="1"/>
  <c r="U90" i="1"/>
  <c r="U104" i="1" s="1"/>
  <c r="U117" i="1" s="1"/>
  <c r="U63" i="1" s="1"/>
  <c r="V90" i="1"/>
  <c r="V104" i="1" s="1"/>
  <c r="V117" i="1" s="1"/>
  <c r="V63" i="1" s="1"/>
  <c r="W90" i="1"/>
  <c r="W104" i="1" s="1"/>
  <c r="W117" i="1" s="1"/>
  <c r="W63" i="1" s="1"/>
  <c r="X90" i="1"/>
  <c r="X104" i="1" s="1"/>
  <c r="X117" i="1" s="1"/>
  <c r="X63" i="1" s="1"/>
  <c r="Y90" i="1"/>
  <c r="Z90" i="1"/>
  <c r="AA90" i="1"/>
  <c r="AA104" i="1" s="1"/>
  <c r="AA117" i="1" s="1"/>
  <c r="AA63" i="1" s="1"/>
  <c r="AB90" i="1"/>
  <c r="AB104" i="1" s="1"/>
  <c r="AB117" i="1" s="1"/>
  <c r="AB63" i="1" s="1"/>
  <c r="AC90" i="1"/>
  <c r="AC104" i="1" s="1"/>
  <c r="AC117" i="1" s="1"/>
  <c r="AC63" i="1" s="1"/>
  <c r="AD90" i="1"/>
  <c r="AD104" i="1" s="1"/>
  <c r="AD117" i="1" s="1"/>
  <c r="AD63" i="1" s="1"/>
  <c r="AE90" i="1"/>
  <c r="AE104" i="1" s="1"/>
  <c r="AE117" i="1" s="1"/>
  <c r="AE63" i="1" s="1"/>
  <c r="AF90" i="1"/>
  <c r="AF104" i="1" s="1"/>
  <c r="AF117" i="1" s="1"/>
  <c r="AF63" i="1" s="1"/>
  <c r="AG90" i="1"/>
  <c r="AH90" i="1"/>
  <c r="AH104" i="1" s="1"/>
  <c r="AH117" i="1" s="1"/>
  <c r="AH63" i="1" s="1"/>
  <c r="AI90" i="1"/>
  <c r="AI104" i="1" s="1"/>
  <c r="AI117" i="1" s="1"/>
  <c r="AI63" i="1" s="1"/>
  <c r="AJ90" i="1"/>
  <c r="AK90" i="1"/>
  <c r="AK104" i="1" s="1"/>
  <c r="AK117" i="1" s="1"/>
  <c r="AK63" i="1" s="1"/>
  <c r="AL90" i="1"/>
  <c r="AL104" i="1" s="1"/>
  <c r="AL117" i="1" s="1"/>
  <c r="AL63" i="1" s="1"/>
  <c r="AM90" i="1"/>
  <c r="AM104" i="1" s="1"/>
  <c r="AM117" i="1" s="1"/>
  <c r="AM63" i="1" s="1"/>
  <c r="AN90" i="1"/>
  <c r="AN104" i="1" s="1"/>
  <c r="AN117" i="1" s="1"/>
  <c r="AN63" i="1" s="1"/>
  <c r="AO90" i="1"/>
  <c r="AP90" i="1"/>
  <c r="AP104" i="1" s="1"/>
  <c r="AP117" i="1" s="1"/>
  <c r="AP63" i="1" s="1"/>
  <c r="AQ90" i="1"/>
  <c r="AQ104" i="1" s="1"/>
  <c r="AQ117" i="1" s="1"/>
  <c r="AQ63" i="1" s="1"/>
  <c r="AR90" i="1"/>
  <c r="AR104" i="1" s="1"/>
  <c r="AR117" i="1" s="1"/>
  <c r="AR63" i="1" s="1"/>
  <c r="AS90" i="1"/>
  <c r="AS104" i="1" s="1"/>
  <c r="AS117" i="1" s="1"/>
  <c r="AS63" i="1" s="1"/>
  <c r="AT90" i="1"/>
  <c r="AT104" i="1" s="1"/>
  <c r="AT117" i="1" s="1"/>
  <c r="AT63" i="1" s="1"/>
  <c r="AU90" i="1"/>
  <c r="AU104" i="1" s="1"/>
  <c r="AU117" i="1" s="1"/>
  <c r="AU63" i="1" s="1"/>
  <c r="AV90" i="1"/>
  <c r="AV104" i="1" s="1"/>
  <c r="AV117" i="1" s="1"/>
  <c r="AV63" i="1" s="1"/>
  <c r="AW90" i="1"/>
  <c r="AX90" i="1"/>
  <c r="AX104" i="1" s="1"/>
  <c r="AX117" i="1" s="1"/>
  <c r="AX63" i="1" s="1"/>
  <c r="AY90" i="1"/>
  <c r="AY104" i="1" s="1"/>
  <c r="AY117" i="1" s="1"/>
  <c r="AY63" i="1" s="1"/>
  <c r="AZ90" i="1"/>
  <c r="AZ104" i="1" s="1"/>
  <c r="AZ117" i="1" s="1"/>
  <c r="AZ63" i="1" s="1"/>
  <c r="BA90" i="1"/>
  <c r="BA104" i="1" s="1"/>
  <c r="BA117" i="1" s="1"/>
  <c r="BA63" i="1" s="1"/>
  <c r="BB90" i="1"/>
  <c r="BB104" i="1" s="1"/>
  <c r="BB117" i="1" s="1"/>
  <c r="BB63" i="1" s="1"/>
  <c r="BC90" i="1"/>
  <c r="BC104" i="1" s="1"/>
  <c r="BC117" i="1" s="1"/>
  <c r="BC63" i="1" s="1"/>
  <c r="BD90" i="1"/>
  <c r="BD104" i="1" s="1"/>
  <c r="BD117" i="1" s="1"/>
  <c r="BD63" i="1" s="1"/>
  <c r="BE90" i="1"/>
  <c r="BF90" i="1"/>
  <c r="BF104" i="1" s="1"/>
  <c r="BF117" i="1" s="1"/>
  <c r="BF63" i="1" s="1"/>
  <c r="BG90" i="1"/>
  <c r="BG104" i="1" s="1"/>
  <c r="BG117" i="1" s="1"/>
  <c r="BG63" i="1" s="1"/>
  <c r="BH90" i="1"/>
  <c r="BH104" i="1" s="1"/>
  <c r="BH117" i="1" s="1"/>
  <c r="BH63" i="1" s="1"/>
  <c r="BI90" i="1"/>
  <c r="BI104" i="1" s="1"/>
  <c r="BI117" i="1" s="1"/>
  <c r="BI63" i="1" s="1"/>
  <c r="BJ90" i="1"/>
  <c r="BJ104" i="1" s="1"/>
  <c r="BJ117" i="1" s="1"/>
  <c r="BJ63" i="1" s="1"/>
  <c r="BK90" i="1"/>
  <c r="BK104" i="1" s="1"/>
  <c r="BK117" i="1" s="1"/>
  <c r="BK63" i="1" s="1"/>
  <c r="BL90" i="1"/>
  <c r="BL104" i="1" s="1"/>
  <c r="BL117" i="1" s="1"/>
  <c r="BL63" i="1" s="1"/>
  <c r="BM90" i="1"/>
  <c r="BN90" i="1"/>
  <c r="BN104" i="1" s="1"/>
  <c r="BN117" i="1" s="1"/>
  <c r="BN63" i="1" s="1"/>
  <c r="BO90" i="1"/>
  <c r="BO104" i="1" s="1"/>
  <c r="BO117" i="1" s="1"/>
  <c r="BO63" i="1" s="1"/>
  <c r="BP90" i="1"/>
  <c r="BP104" i="1" s="1"/>
  <c r="BP117" i="1" s="1"/>
  <c r="BP63" i="1" s="1"/>
  <c r="BQ90" i="1"/>
  <c r="BQ104" i="1" s="1"/>
  <c r="BQ117" i="1" s="1"/>
  <c r="BQ63" i="1" s="1"/>
  <c r="BR90" i="1"/>
  <c r="BR104" i="1" s="1"/>
  <c r="BR117" i="1" s="1"/>
  <c r="BR63" i="1" s="1"/>
  <c r="BS90" i="1"/>
  <c r="BS104" i="1" s="1"/>
  <c r="BS117" i="1" s="1"/>
  <c r="BS63" i="1" s="1"/>
  <c r="BT90" i="1"/>
  <c r="BT104" i="1" s="1"/>
  <c r="BT117" i="1" s="1"/>
  <c r="BT63" i="1" s="1"/>
  <c r="BU90" i="1"/>
  <c r="BV90" i="1"/>
  <c r="BV104" i="1" s="1"/>
  <c r="BV117" i="1" s="1"/>
  <c r="BV63" i="1" s="1"/>
  <c r="BW90" i="1"/>
  <c r="BW104" i="1" s="1"/>
  <c r="BW117" i="1" s="1"/>
  <c r="BW63" i="1" s="1"/>
  <c r="BX90" i="1"/>
  <c r="BX104" i="1" s="1"/>
  <c r="BX117" i="1" s="1"/>
  <c r="BX63" i="1" s="1"/>
  <c r="BY90" i="1"/>
  <c r="BY104" i="1" s="1"/>
  <c r="BY117" i="1" s="1"/>
  <c r="BY63" i="1" s="1"/>
  <c r="BZ90" i="1"/>
  <c r="BZ104" i="1" s="1"/>
  <c r="BZ117" i="1" s="1"/>
  <c r="BZ63" i="1" s="1"/>
  <c r="CA90" i="1"/>
  <c r="CA104" i="1" s="1"/>
  <c r="CA117" i="1" s="1"/>
  <c r="CA63" i="1" s="1"/>
  <c r="CB90" i="1"/>
  <c r="CB104" i="1" s="1"/>
  <c r="CB117" i="1" s="1"/>
  <c r="CB63" i="1" s="1"/>
  <c r="CC90" i="1"/>
  <c r="CD90" i="1"/>
  <c r="CE90" i="1"/>
  <c r="CF90" i="1"/>
  <c r="CG90" i="1"/>
  <c r="CG104" i="1" s="1"/>
  <c r="CG117" i="1" s="1"/>
  <c r="CG63" i="1" s="1"/>
  <c r="CH90" i="1"/>
  <c r="CH104" i="1" s="1"/>
  <c r="CH117" i="1" s="1"/>
  <c r="CH63" i="1" s="1"/>
  <c r="CI90" i="1"/>
  <c r="CI104" i="1" s="1"/>
  <c r="CI117" i="1" s="1"/>
  <c r="CI63" i="1" s="1"/>
  <c r="CJ90" i="1"/>
  <c r="CJ104" i="1" s="1"/>
  <c r="CJ117" i="1" s="1"/>
  <c r="CJ63" i="1" s="1"/>
  <c r="CK90" i="1"/>
  <c r="CL90" i="1"/>
  <c r="CL104" i="1" s="1"/>
  <c r="CL117" i="1" s="1"/>
  <c r="CL63" i="1" s="1"/>
  <c r="CM90" i="1"/>
  <c r="CM104" i="1" s="1"/>
  <c r="CM117" i="1" s="1"/>
  <c r="CM63" i="1" s="1"/>
  <c r="CN90" i="1"/>
  <c r="CN104" i="1" s="1"/>
  <c r="CN117" i="1" s="1"/>
  <c r="CN63" i="1" s="1"/>
  <c r="CO90" i="1"/>
  <c r="CO104" i="1" s="1"/>
  <c r="CO117" i="1" s="1"/>
  <c r="CO63" i="1" s="1"/>
  <c r="CP90" i="1"/>
  <c r="CQ90" i="1"/>
  <c r="CQ104" i="1" s="1"/>
  <c r="CQ117" i="1" s="1"/>
  <c r="CQ63" i="1" s="1"/>
  <c r="CR90" i="1"/>
  <c r="CR104" i="1" s="1"/>
  <c r="CR117" i="1" s="1"/>
  <c r="CR63" i="1" s="1"/>
  <c r="CS90" i="1"/>
  <c r="CT90" i="1"/>
  <c r="CT104" i="1" s="1"/>
  <c r="CT117" i="1" s="1"/>
  <c r="CT63" i="1" s="1"/>
  <c r="CU90" i="1"/>
  <c r="CU104" i="1" s="1"/>
  <c r="CU117" i="1" s="1"/>
  <c r="CU63" i="1" s="1"/>
  <c r="CV90" i="1"/>
  <c r="CV104" i="1" s="1"/>
  <c r="CV117" i="1" s="1"/>
  <c r="CV63" i="1" s="1"/>
  <c r="CW90" i="1"/>
  <c r="CW104" i="1" s="1"/>
  <c r="CW117" i="1" s="1"/>
  <c r="CW63" i="1" s="1"/>
  <c r="CX90" i="1"/>
  <c r="CX104" i="1" s="1"/>
  <c r="CX117" i="1" s="1"/>
  <c r="CX63" i="1" s="1"/>
  <c r="CY90" i="1"/>
  <c r="CY104" i="1" s="1"/>
  <c r="CY117" i="1" s="1"/>
  <c r="CY63" i="1" s="1"/>
  <c r="CZ90" i="1"/>
  <c r="CZ104" i="1" s="1"/>
  <c r="CZ117" i="1" s="1"/>
  <c r="CZ63" i="1" s="1"/>
  <c r="DA90" i="1"/>
  <c r="DB90" i="1"/>
  <c r="DB104" i="1" s="1"/>
  <c r="DB117" i="1" s="1"/>
  <c r="DB63" i="1" s="1"/>
  <c r="DC90" i="1"/>
  <c r="DC104" i="1" s="1"/>
  <c r="DC117" i="1" s="1"/>
  <c r="DC63" i="1" s="1"/>
  <c r="DD90" i="1"/>
  <c r="DD104" i="1" s="1"/>
  <c r="DD117" i="1" s="1"/>
  <c r="DD63" i="1" s="1"/>
  <c r="DE90" i="1"/>
  <c r="DE104" i="1" s="1"/>
  <c r="DE117" i="1" s="1"/>
  <c r="DE63" i="1" s="1"/>
  <c r="DF90" i="1"/>
  <c r="DF104" i="1" s="1"/>
  <c r="DF117" i="1" s="1"/>
  <c r="DF63" i="1" s="1"/>
  <c r="DG90" i="1"/>
  <c r="DG104" i="1" s="1"/>
  <c r="DG117" i="1" s="1"/>
  <c r="DG63" i="1" s="1"/>
  <c r="DH90" i="1"/>
  <c r="DH104" i="1" s="1"/>
  <c r="DH117" i="1" s="1"/>
  <c r="DH63" i="1" s="1"/>
  <c r="DI90" i="1"/>
  <c r="DJ90" i="1"/>
  <c r="DK90" i="1"/>
  <c r="DK104" i="1" s="1"/>
  <c r="DK117" i="1" s="1"/>
  <c r="DK63" i="1" s="1"/>
  <c r="DL90" i="1"/>
  <c r="DL104" i="1" s="1"/>
  <c r="DL117" i="1" s="1"/>
  <c r="DL63" i="1" s="1"/>
  <c r="DM90" i="1"/>
  <c r="DM104" i="1" s="1"/>
  <c r="DM117" i="1" s="1"/>
  <c r="DM63" i="1" s="1"/>
  <c r="DN90" i="1"/>
  <c r="DN104" i="1" s="1"/>
  <c r="DN117" i="1" s="1"/>
  <c r="DN63" i="1" s="1"/>
  <c r="DO90" i="1"/>
  <c r="DO104" i="1" s="1"/>
  <c r="DO117" i="1" s="1"/>
  <c r="DO63" i="1" s="1"/>
  <c r="DP90" i="1"/>
  <c r="DP104" i="1" s="1"/>
  <c r="DP117" i="1" s="1"/>
  <c r="DP63" i="1" s="1"/>
  <c r="DQ90" i="1"/>
  <c r="DR90" i="1"/>
  <c r="DR104" i="1" s="1"/>
  <c r="DR117" i="1" s="1"/>
  <c r="DR63" i="1" s="1"/>
  <c r="DS90" i="1"/>
  <c r="DS104" i="1" s="1"/>
  <c r="DS117" i="1" s="1"/>
  <c r="DS63" i="1" s="1"/>
  <c r="DT90" i="1"/>
  <c r="DT104" i="1" s="1"/>
  <c r="DT117" i="1" s="1"/>
  <c r="DT63" i="1" s="1"/>
  <c r="DU90" i="1"/>
  <c r="DU104" i="1" s="1"/>
  <c r="DU117" i="1" s="1"/>
  <c r="DU63" i="1" s="1"/>
  <c r="DV90" i="1"/>
  <c r="DV104" i="1" s="1"/>
  <c r="DV117" i="1" s="1"/>
  <c r="DV63" i="1" s="1"/>
  <c r="DW90" i="1"/>
  <c r="DW104" i="1" s="1"/>
  <c r="DW117" i="1" s="1"/>
  <c r="DW63" i="1" s="1"/>
  <c r="DX90" i="1"/>
  <c r="DX104" i="1" s="1"/>
  <c r="DX117" i="1" s="1"/>
  <c r="DX63" i="1" s="1"/>
  <c r="DY90" i="1"/>
  <c r="DZ90" i="1"/>
  <c r="DZ104" i="1" s="1"/>
  <c r="DZ117" i="1" s="1"/>
  <c r="DZ63" i="1" s="1"/>
  <c r="EA90" i="1"/>
  <c r="EB90" i="1"/>
  <c r="EB104" i="1" s="1"/>
  <c r="EB117" i="1" s="1"/>
  <c r="EB63" i="1" s="1"/>
  <c r="EC90" i="1"/>
  <c r="EC104" i="1" s="1"/>
  <c r="EC117" i="1" s="1"/>
  <c r="EC63" i="1" s="1"/>
  <c r="ED90" i="1"/>
  <c r="ED104" i="1" s="1"/>
  <c r="ED117" i="1" s="1"/>
  <c r="ED63" i="1" s="1"/>
  <c r="EE90" i="1"/>
  <c r="EE104" i="1" s="1"/>
  <c r="EE117" i="1" s="1"/>
  <c r="EE63" i="1" s="1"/>
  <c r="EF90" i="1"/>
  <c r="EF104" i="1" s="1"/>
  <c r="EF117" i="1" s="1"/>
  <c r="EF63" i="1" s="1"/>
  <c r="EG90" i="1"/>
  <c r="EH90" i="1"/>
  <c r="EH104" i="1" s="1"/>
  <c r="EH117" i="1" s="1"/>
  <c r="EH63" i="1" s="1"/>
  <c r="EI90" i="1"/>
  <c r="EJ90" i="1"/>
  <c r="EJ104" i="1" s="1"/>
  <c r="EJ117" i="1" s="1"/>
  <c r="EJ63" i="1" s="1"/>
  <c r="EK90" i="1"/>
  <c r="EK104" i="1" s="1"/>
  <c r="EK117" i="1" s="1"/>
  <c r="EK63" i="1" s="1"/>
  <c r="EL90" i="1"/>
  <c r="EL104" i="1" s="1"/>
  <c r="EL117" i="1" s="1"/>
  <c r="EL63" i="1" s="1"/>
  <c r="D65" i="1"/>
  <c r="E65" i="1"/>
  <c r="F65" i="1"/>
  <c r="G65" i="1"/>
  <c r="I65" i="1"/>
  <c r="K65" i="1"/>
  <c r="L65" i="1"/>
  <c r="M65" i="1"/>
  <c r="N65" i="1"/>
  <c r="O65" i="1"/>
  <c r="Q65" i="1"/>
  <c r="S65" i="1"/>
  <c r="T65" i="1"/>
  <c r="U65" i="1"/>
  <c r="V65" i="1"/>
  <c r="W65" i="1"/>
  <c r="AA65" i="1"/>
  <c r="AB65" i="1"/>
  <c r="AC65" i="1"/>
  <c r="AD65" i="1"/>
  <c r="AE65" i="1"/>
  <c r="AG65" i="1"/>
  <c r="AI65" i="1"/>
  <c r="AJ65" i="1"/>
  <c r="AK65" i="1"/>
  <c r="AL65" i="1"/>
  <c r="AM65" i="1"/>
  <c r="AQ65" i="1"/>
  <c r="AR65" i="1"/>
  <c r="AS65" i="1"/>
  <c r="AT65" i="1"/>
  <c r="AU65" i="1"/>
  <c r="AW65" i="1"/>
  <c r="AY65" i="1"/>
  <c r="AZ65" i="1"/>
  <c r="BA65" i="1"/>
  <c r="BB65" i="1"/>
  <c r="BC65" i="1"/>
  <c r="BG65" i="1"/>
  <c r="BH65" i="1"/>
  <c r="BI65" i="1"/>
  <c r="BJ65" i="1"/>
  <c r="BK65" i="1"/>
  <c r="BM65" i="1"/>
  <c r="BO65" i="1"/>
  <c r="BP65" i="1"/>
  <c r="BQ65" i="1"/>
  <c r="BR65" i="1"/>
  <c r="BS65" i="1"/>
  <c r="BU65" i="1"/>
  <c r="BW65" i="1"/>
  <c r="BX65" i="1"/>
  <c r="BY65" i="1"/>
  <c r="BZ65" i="1"/>
  <c r="CA65" i="1"/>
  <c r="CC65" i="1"/>
  <c r="CE65" i="1"/>
  <c r="CF65" i="1"/>
  <c r="CG65" i="1"/>
  <c r="CH65" i="1"/>
  <c r="CI65" i="1"/>
  <c r="CK65" i="1"/>
  <c r="CM65" i="1"/>
  <c r="CN65" i="1"/>
  <c r="CO65" i="1"/>
  <c r="CP65" i="1"/>
  <c r="CQ65" i="1"/>
  <c r="CU65" i="1"/>
  <c r="CV65" i="1"/>
  <c r="CW65" i="1"/>
  <c r="CX65" i="1"/>
  <c r="CY65" i="1"/>
  <c r="DA65" i="1"/>
  <c r="DC65" i="1"/>
  <c r="DD65" i="1"/>
  <c r="DE65" i="1"/>
  <c r="DF65" i="1"/>
  <c r="DG65" i="1"/>
  <c r="DK65" i="1"/>
  <c r="DL65" i="1"/>
  <c r="DM65" i="1"/>
  <c r="DN65" i="1"/>
  <c r="DO65" i="1"/>
  <c r="DQ65" i="1"/>
  <c r="DS65" i="1"/>
  <c r="DT65" i="1"/>
  <c r="DU65" i="1"/>
  <c r="DV65" i="1"/>
  <c r="DW65" i="1"/>
  <c r="DY65" i="1"/>
  <c r="EA65" i="1"/>
  <c r="EB65" i="1"/>
  <c r="EC65" i="1"/>
  <c r="ED65" i="1"/>
  <c r="EE65" i="1"/>
  <c r="EG65" i="1"/>
  <c r="EI65" i="1"/>
  <c r="EJ65" i="1"/>
  <c r="EK65" i="1"/>
  <c r="EL65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C118" i="1"/>
  <c r="C119" i="1"/>
  <c r="I104" i="1"/>
  <c r="I117" i="1" s="1"/>
  <c r="I63" i="1" s="1"/>
  <c r="K104" i="1"/>
  <c r="K117" i="1" s="1"/>
  <c r="K63" i="1" s="1"/>
  <c r="Q104" i="1"/>
  <c r="Q117" i="1" s="1"/>
  <c r="Q63" i="1" s="1"/>
  <c r="Y104" i="1"/>
  <c r="Z104" i="1"/>
  <c r="Z117" i="1" s="1"/>
  <c r="Z63" i="1" s="1"/>
  <c r="AG104" i="1"/>
  <c r="AG117" i="1" s="1"/>
  <c r="AG63" i="1" s="1"/>
  <c r="AJ104" i="1"/>
  <c r="AJ117" i="1" s="1"/>
  <c r="AJ63" i="1" s="1"/>
  <c r="AO104" i="1"/>
  <c r="AO117" i="1" s="1"/>
  <c r="AO63" i="1" s="1"/>
  <c r="AW104" i="1"/>
  <c r="AW117" i="1" s="1"/>
  <c r="AW63" i="1" s="1"/>
  <c r="BE104" i="1"/>
  <c r="BE117" i="1" s="1"/>
  <c r="BE63" i="1" s="1"/>
  <c r="BM104" i="1"/>
  <c r="BM117" i="1" s="1"/>
  <c r="BM63" i="1" s="1"/>
  <c r="BU104" i="1"/>
  <c r="BU117" i="1" s="1"/>
  <c r="BU63" i="1" s="1"/>
  <c r="CC104" i="1"/>
  <c r="CC117" i="1" s="1"/>
  <c r="CC63" i="1" s="1"/>
  <c r="CD104" i="1"/>
  <c r="CD117" i="1" s="1"/>
  <c r="CD63" i="1" s="1"/>
  <c r="CE104" i="1"/>
  <c r="CE117" i="1" s="1"/>
  <c r="CE63" i="1" s="1"/>
  <c r="CF104" i="1"/>
  <c r="CF117" i="1" s="1"/>
  <c r="CF63" i="1" s="1"/>
  <c r="CK104" i="1"/>
  <c r="CK117" i="1" s="1"/>
  <c r="CK63" i="1" s="1"/>
  <c r="CP104" i="1"/>
  <c r="CP117" i="1" s="1"/>
  <c r="CP63" i="1" s="1"/>
  <c r="CS104" i="1"/>
  <c r="DA104" i="1"/>
  <c r="DA117" i="1" s="1"/>
  <c r="DA63" i="1" s="1"/>
  <c r="DI104" i="1"/>
  <c r="DI117" i="1" s="1"/>
  <c r="DI63" i="1" s="1"/>
  <c r="DJ104" i="1"/>
  <c r="DJ117" i="1" s="1"/>
  <c r="DJ63" i="1" s="1"/>
  <c r="DQ104" i="1"/>
  <c r="DQ117" i="1" s="1"/>
  <c r="DQ63" i="1" s="1"/>
  <c r="DY104" i="1"/>
  <c r="DY117" i="1" s="1"/>
  <c r="DY63" i="1" s="1"/>
  <c r="EA104" i="1"/>
  <c r="EA117" i="1" s="1"/>
  <c r="EA63" i="1" s="1"/>
  <c r="EG104" i="1"/>
  <c r="EG117" i="1" s="1"/>
  <c r="EG63" i="1" s="1"/>
  <c r="EI104" i="1"/>
  <c r="EI117" i="1" s="1"/>
  <c r="EI63" i="1" s="1"/>
  <c r="E66" i="1"/>
  <c r="G66" i="1"/>
  <c r="M66" i="1"/>
  <c r="O66" i="1"/>
  <c r="U66" i="1"/>
  <c r="W66" i="1"/>
  <c r="AC66" i="1"/>
  <c r="AE66" i="1"/>
  <c r="AK66" i="1"/>
  <c r="AM66" i="1"/>
  <c r="AS66" i="1"/>
  <c r="AU66" i="1"/>
  <c r="BA66" i="1"/>
  <c r="BC66" i="1"/>
  <c r="BI66" i="1"/>
  <c r="BK66" i="1"/>
  <c r="BQ66" i="1"/>
  <c r="BS66" i="1"/>
  <c r="BY66" i="1"/>
  <c r="CA66" i="1"/>
  <c r="CG66" i="1"/>
  <c r="CI66" i="1"/>
  <c r="CO66" i="1"/>
  <c r="CQ66" i="1"/>
  <c r="CW66" i="1"/>
  <c r="CY66" i="1"/>
  <c r="DE66" i="1"/>
  <c r="DG66" i="1"/>
  <c r="DM66" i="1"/>
  <c r="DO66" i="1"/>
  <c r="DU66" i="1"/>
  <c r="DW66" i="1"/>
  <c r="EC66" i="1"/>
  <c r="EE66" i="1"/>
  <c r="EK66" i="1"/>
  <c r="D67" i="1"/>
  <c r="K67" i="1"/>
  <c r="L67" i="1"/>
  <c r="T67" i="1"/>
  <c r="AB67" i="1"/>
  <c r="AJ67" i="1"/>
  <c r="AR67" i="1"/>
  <c r="AZ67" i="1"/>
  <c r="BH67" i="1"/>
  <c r="BP67" i="1"/>
  <c r="BX67" i="1"/>
  <c r="CF67" i="1"/>
  <c r="CM67" i="1"/>
  <c r="CN67" i="1"/>
  <c r="CV67" i="1"/>
  <c r="DD67" i="1"/>
  <c r="DL67" i="1"/>
  <c r="DT67" i="1"/>
  <c r="EB67" i="1"/>
  <c r="EJ67" i="1"/>
  <c r="Y117" i="1"/>
  <c r="Y63" i="1" s="1"/>
  <c r="CS117" i="1"/>
  <c r="CS63" i="1" s="1"/>
  <c r="C64" i="1"/>
  <c r="C65" i="1"/>
  <c r="H65" i="1"/>
  <c r="J65" i="1"/>
  <c r="P65" i="1"/>
  <c r="R65" i="1"/>
  <c r="X65" i="1"/>
  <c r="Y65" i="1"/>
  <c r="Z65" i="1"/>
  <c r="AF65" i="1"/>
  <c r="AH65" i="1"/>
  <c r="AN65" i="1"/>
  <c r="AO65" i="1"/>
  <c r="AP65" i="1"/>
  <c r="AV65" i="1"/>
  <c r="AX65" i="1"/>
  <c r="BD65" i="1"/>
  <c r="BE65" i="1"/>
  <c r="BF65" i="1"/>
  <c r="BL65" i="1"/>
  <c r="BN65" i="1"/>
  <c r="BT65" i="1"/>
  <c r="BV65" i="1"/>
  <c r="CB65" i="1"/>
  <c r="CD65" i="1"/>
  <c r="CJ65" i="1"/>
  <c r="CL65" i="1"/>
  <c r="CR65" i="1"/>
  <c r="CS65" i="1"/>
  <c r="CT65" i="1"/>
  <c r="CZ65" i="1"/>
  <c r="DB65" i="1"/>
  <c r="DH65" i="1"/>
  <c r="DI65" i="1"/>
  <c r="DJ65" i="1"/>
  <c r="DP65" i="1"/>
  <c r="DR65" i="1"/>
  <c r="DX65" i="1"/>
  <c r="DZ65" i="1"/>
  <c r="EF65" i="1"/>
  <c r="EH65" i="1"/>
  <c r="C66" i="1"/>
  <c r="C67" i="1"/>
  <c r="C68" i="1"/>
  <c r="C69" i="1"/>
  <c r="C23" i="1"/>
  <c r="C52" i="1"/>
  <c r="C60" i="1"/>
  <c r="C73" i="1"/>
  <c r="H73" i="1" s="1"/>
  <c r="C24" i="1" l="1"/>
  <c r="DY66" i="1"/>
  <c r="BU66" i="1"/>
  <c r="Y66" i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EH67" i="1"/>
  <c r="DZ67" i="1"/>
  <c r="DR67" i="1"/>
  <c r="DJ67" i="1"/>
  <c r="DB67" i="1"/>
  <c r="CT67" i="1"/>
  <c r="CL67" i="1"/>
  <c r="CD67" i="1"/>
  <c r="BV67" i="1"/>
  <c r="BN67" i="1"/>
  <c r="BF67" i="1"/>
  <c r="AX67" i="1"/>
  <c r="AP67" i="1"/>
  <c r="AH67" i="1"/>
  <c r="Z67" i="1"/>
  <c r="R67" i="1"/>
  <c r="J67" i="1"/>
  <c r="CC66" i="1"/>
  <c r="AG66" i="1"/>
  <c r="EL67" i="1"/>
  <c r="ED67" i="1"/>
  <c r="DV67" i="1"/>
  <c r="DN67" i="1"/>
  <c r="DF67" i="1"/>
  <c r="CX67" i="1"/>
  <c r="CP67" i="1"/>
  <c r="CH67" i="1"/>
  <c r="BZ67" i="1"/>
  <c r="BR67" i="1"/>
  <c r="BJ67" i="1"/>
  <c r="BB67" i="1"/>
  <c r="AT67" i="1"/>
  <c r="AL67" i="1"/>
  <c r="AD67" i="1"/>
  <c r="V67" i="1"/>
  <c r="N67" i="1"/>
  <c r="F67" i="1"/>
  <c r="AV66" i="1"/>
  <c r="D73" i="1"/>
  <c r="I73" i="1" s="1"/>
  <c r="EI67" i="1"/>
  <c r="DC67" i="1"/>
  <c r="AY67" i="1"/>
  <c r="AQ67" i="1"/>
  <c r="AI67" i="1"/>
  <c r="BS64" i="1"/>
  <c r="G64" i="1"/>
  <c r="EK67" i="1"/>
  <c r="EC67" i="1"/>
  <c r="DU67" i="1"/>
  <c r="DM67" i="1"/>
  <c r="DE67" i="1"/>
  <c r="CW67" i="1"/>
  <c r="CO67" i="1"/>
  <c r="CG67" i="1"/>
  <c r="BY67" i="1"/>
  <c r="BQ67" i="1"/>
  <c r="BI67" i="1"/>
  <c r="BA67" i="1"/>
  <c r="AS67" i="1"/>
  <c r="AK67" i="1"/>
  <c r="AC67" i="1"/>
  <c r="U67" i="1"/>
  <c r="M67" i="1"/>
  <c r="E67" i="1"/>
  <c r="EL66" i="1"/>
  <c r="ED66" i="1"/>
  <c r="DV66" i="1"/>
  <c r="DN66" i="1"/>
  <c r="DF66" i="1"/>
  <c r="CX66" i="1"/>
  <c r="CP66" i="1"/>
  <c r="CH66" i="1"/>
  <c r="BZ66" i="1"/>
  <c r="BR66" i="1"/>
  <c r="BJ66" i="1"/>
  <c r="BB66" i="1"/>
  <c r="AT66" i="1"/>
  <c r="AL66" i="1"/>
  <c r="AD66" i="1"/>
  <c r="V66" i="1"/>
  <c r="N66" i="1"/>
  <c r="F66" i="1"/>
  <c r="EA67" i="1"/>
  <c r="DS67" i="1"/>
  <c r="DK67" i="1"/>
  <c r="CU67" i="1"/>
  <c r="CE67" i="1"/>
  <c r="BW67" i="1"/>
  <c r="BO67" i="1"/>
  <c r="BG67" i="1"/>
  <c r="AA67" i="1"/>
  <c r="S67" i="1"/>
  <c r="EE64" i="1"/>
  <c r="BJ64" i="1"/>
  <c r="AD64" i="1"/>
  <c r="BC67" i="1"/>
  <c r="G67" i="1"/>
  <c r="CT66" i="1"/>
  <c r="EF66" i="1"/>
  <c r="DX66" i="1"/>
  <c r="DP66" i="1"/>
  <c r="DH66" i="1"/>
  <c r="CZ66" i="1"/>
  <c r="CR66" i="1"/>
  <c r="CJ66" i="1"/>
  <c r="CB66" i="1"/>
  <c r="BT66" i="1"/>
  <c r="BL66" i="1"/>
  <c r="BD66" i="1"/>
  <c r="AN66" i="1"/>
  <c r="AF66" i="1"/>
  <c r="X66" i="1"/>
  <c r="P66" i="1"/>
  <c r="H66" i="1"/>
  <c r="EG66" i="1"/>
  <c r="DQ66" i="1"/>
  <c r="DI66" i="1"/>
  <c r="DA66" i="1"/>
  <c r="CS66" i="1"/>
  <c r="CK66" i="1"/>
  <c r="BM66" i="1"/>
  <c r="BE66" i="1"/>
  <c r="AW66" i="1"/>
  <c r="AO66" i="1"/>
  <c r="Q66" i="1"/>
  <c r="I66" i="1"/>
  <c r="DG64" i="1"/>
  <c r="CQ64" i="1"/>
  <c r="DW64" i="1"/>
  <c r="BC64" i="1"/>
  <c r="AM64" i="1"/>
  <c r="W64" i="1"/>
  <c r="EJ66" i="1"/>
  <c r="EB66" i="1"/>
  <c r="DT66" i="1"/>
  <c r="DL66" i="1"/>
  <c r="DD66" i="1"/>
  <c r="CV66" i="1"/>
  <c r="CN66" i="1"/>
  <c r="CF66" i="1"/>
  <c r="BX66" i="1"/>
  <c r="BP66" i="1"/>
  <c r="BH66" i="1"/>
  <c r="AZ66" i="1"/>
  <c r="AR66" i="1"/>
  <c r="AJ66" i="1"/>
  <c r="AB66" i="1"/>
  <c r="T66" i="1"/>
  <c r="L66" i="1"/>
  <c r="D66" i="1"/>
  <c r="CE64" i="1"/>
  <c r="BO64" i="1"/>
  <c r="AY64" i="1"/>
  <c r="EE67" i="1"/>
  <c r="DW67" i="1"/>
  <c r="DO67" i="1"/>
  <c r="DG67" i="1"/>
  <c r="CY67" i="1"/>
  <c r="CQ67" i="1"/>
  <c r="CI67" i="1"/>
  <c r="CA67" i="1"/>
  <c r="BS67" i="1"/>
  <c r="BK67" i="1"/>
  <c r="AU67" i="1"/>
  <c r="AM67" i="1"/>
  <c r="AE67" i="1"/>
  <c r="W67" i="1"/>
  <c r="O67" i="1"/>
  <c r="EH66" i="1"/>
  <c r="Z66" i="1"/>
  <c r="U64" i="1"/>
  <c r="AI64" i="1"/>
  <c r="DZ66" i="1"/>
  <c r="DR66" i="1"/>
  <c r="DJ66" i="1"/>
  <c r="DB66" i="1"/>
  <c r="CL66" i="1"/>
  <c r="CD66" i="1"/>
  <c r="BV66" i="1"/>
  <c r="BN66" i="1"/>
  <c r="BF66" i="1"/>
  <c r="AX66" i="1"/>
  <c r="AP66" i="1"/>
  <c r="AH66" i="1"/>
  <c r="R66" i="1"/>
  <c r="J66" i="1"/>
  <c r="DX64" i="1"/>
  <c r="DH64" i="1"/>
  <c r="CR64" i="1"/>
  <c r="EG67" i="1"/>
  <c r="DY67" i="1"/>
  <c r="DQ67" i="1"/>
  <c r="DI67" i="1"/>
  <c r="DA67" i="1"/>
  <c r="CS67" i="1"/>
  <c r="CK67" i="1"/>
  <c r="CC67" i="1"/>
  <c r="BU67" i="1"/>
  <c r="BM67" i="1"/>
  <c r="BE67" i="1"/>
  <c r="AW67" i="1"/>
  <c r="AO67" i="1"/>
  <c r="AG67" i="1"/>
  <c r="Y67" i="1"/>
  <c r="Q67" i="1"/>
  <c r="I67" i="1"/>
  <c r="CG64" i="1"/>
  <c r="DO64" i="1"/>
  <c r="CY64" i="1"/>
  <c r="CI64" i="1"/>
  <c r="CA64" i="1"/>
  <c r="BK64" i="1"/>
  <c r="AU64" i="1"/>
  <c r="AE64" i="1"/>
  <c r="O64" i="1"/>
  <c r="EL64" i="1"/>
  <c r="ED64" i="1"/>
  <c r="DV64" i="1"/>
  <c r="DN64" i="1"/>
  <c r="DF64" i="1"/>
  <c r="CX64" i="1"/>
  <c r="CP64" i="1"/>
  <c r="CH64" i="1"/>
  <c r="BZ64" i="1"/>
  <c r="BR64" i="1"/>
  <c r="BB64" i="1"/>
  <c r="AT64" i="1"/>
  <c r="AL64" i="1"/>
  <c r="V64" i="1"/>
  <c r="N64" i="1"/>
  <c r="F64" i="1"/>
  <c r="EF64" i="1"/>
  <c r="DP64" i="1"/>
  <c r="CZ64" i="1"/>
  <c r="CJ64" i="1"/>
  <c r="CB64" i="1"/>
  <c r="BT64" i="1"/>
  <c r="BL64" i="1"/>
  <c r="BD64" i="1"/>
  <c r="AV64" i="1"/>
  <c r="AN64" i="1"/>
  <c r="AF64" i="1"/>
  <c r="X64" i="1"/>
  <c r="P64" i="1"/>
  <c r="H64" i="1"/>
  <c r="EI64" i="1"/>
  <c r="EA64" i="1"/>
  <c r="DS64" i="1"/>
  <c r="DK64" i="1"/>
  <c r="DC64" i="1"/>
  <c r="CU64" i="1"/>
  <c r="CM64" i="1"/>
  <c r="BW64" i="1"/>
  <c r="BG64" i="1"/>
  <c r="AQ64" i="1"/>
  <c r="AA64" i="1"/>
  <c r="S64" i="1"/>
  <c r="K64" i="1"/>
  <c r="EF67" i="1"/>
  <c r="DX67" i="1"/>
  <c r="DP67" i="1"/>
  <c r="DH67" i="1"/>
  <c r="CZ67" i="1"/>
  <c r="CR67" i="1"/>
  <c r="CJ67" i="1"/>
  <c r="CB67" i="1"/>
  <c r="BT67" i="1"/>
  <c r="BL67" i="1"/>
  <c r="BD67" i="1"/>
  <c r="AV67" i="1"/>
  <c r="AN67" i="1"/>
  <c r="AF67" i="1"/>
  <c r="X67" i="1"/>
  <c r="EI66" i="1"/>
  <c r="EA66" i="1"/>
  <c r="D30" i="1"/>
  <c r="EH64" i="1"/>
  <c r="DZ64" i="1"/>
  <c r="DR64" i="1"/>
  <c r="DJ64" i="1"/>
  <c r="DB64" i="1"/>
  <c r="CT64" i="1"/>
  <c r="CL64" i="1"/>
  <c r="CD64" i="1"/>
  <c r="BV64" i="1"/>
  <c r="BN64" i="1"/>
  <c r="BF64" i="1"/>
  <c r="AX64" i="1"/>
  <c r="AP64" i="1"/>
  <c r="AH64" i="1"/>
  <c r="Z64" i="1"/>
  <c r="R64" i="1"/>
  <c r="J64" i="1"/>
  <c r="EK64" i="1"/>
  <c r="EC64" i="1"/>
  <c r="DU64" i="1"/>
  <c r="DM64" i="1"/>
  <c r="DE64" i="1"/>
  <c r="CW64" i="1"/>
  <c r="CO64" i="1"/>
  <c r="BY64" i="1"/>
  <c r="BQ64" i="1"/>
  <c r="BI64" i="1"/>
  <c r="BA64" i="1"/>
  <c r="AS64" i="1"/>
  <c r="AK64" i="1"/>
  <c r="AC64" i="1"/>
  <c r="M64" i="1"/>
  <c r="E64" i="1"/>
  <c r="K41" i="1"/>
  <c r="K46" i="1" s="1"/>
  <c r="AA41" i="1"/>
  <c r="AA46" i="1" s="1"/>
  <c r="M42" i="1"/>
  <c r="Z42" i="1"/>
  <c r="AN42" i="1"/>
  <c r="AY42" i="1"/>
  <c r="BM42" i="1"/>
  <c r="BY42" i="1"/>
  <c r="CL42" i="1"/>
  <c r="CZ42" i="1"/>
  <c r="DK42" i="1"/>
  <c r="DY42" i="1"/>
  <c r="EK42" i="1"/>
  <c r="AG41" i="1"/>
  <c r="AG46" i="1" s="1"/>
  <c r="P42" i="1"/>
  <c r="AA42" i="1"/>
  <c r="AO42" i="1"/>
  <c r="BA42" i="1"/>
  <c r="BN42" i="1"/>
  <c r="CB42" i="1"/>
  <c r="CM42" i="1"/>
  <c r="DA42" i="1"/>
  <c r="DM42" i="1"/>
  <c r="DZ42" i="1"/>
  <c r="K42" i="1"/>
  <c r="AX42" i="1"/>
  <c r="CK42" i="1"/>
  <c r="DX42" i="1"/>
  <c r="Q42" i="1"/>
  <c r="AC42" i="1"/>
  <c r="AP42" i="1"/>
  <c r="BD42" i="1"/>
  <c r="BO42" i="1"/>
  <c r="CC42" i="1"/>
  <c r="CO42" i="1"/>
  <c r="DB42" i="1"/>
  <c r="DP42" i="1"/>
  <c r="EA42" i="1"/>
  <c r="C41" i="1"/>
  <c r="E42" i="1"/>
  <c r="R42" i="1"/>
  <c r="AF42" i="1"/>
  <c r="AQ42" i="1"/>
  <c r="BE42" i="1"/>
  <c r="BQ42" i="1"/>
  <c r="CD42" i="1"/>
  <c r="CR42" i="1"/>
  <c r="DC42" i="1"/>
  <c r="DQ42" i="1"/>
  <c r="EC42" i="1"/>
  <c r="Y42" i="1"/>
  <c r="AK42" i="1"/>
  <c r="BL42" i="1"/>
  <c r="DJ42" i="1"/>
  <c r="EI42" i="1"/>
  <c r="I41" i="1"/>
  <c r="I46" i="1" s="1"/>
  <c r="H42" i="1"/>
  <c r="S42" i="1"/>
  <c r="AG42" i="1"/>
  <c r="AS42" i="1"/>
  <c r="BF42" i="1"/>
  <c r="BT42" i="1"/>
  <c r="CE42" i="1"/>
  <c r="CS42" i="1"/>
  <c r="DE42" i="1"/>
  <c r="DR42" i="1"/>
  <c r="EF42" i="1"/>
  <c r="O41" i="1"/>
  <c r="O46" i="1" s="1"/>
  <c r="I42" i="1"/>
  <c r="U42" i="1"/>
  <c r="AH42" i="1"/>
  <c r="AV42" i="1"/>
  <c r="BG42" i="1"/>
  <c r="BU42" i="1"/>
  <c r="CG42" i="1"/>
  <c r="CT42" i="1"/>
  <c r="DH42" i="1"/>
  <c r="DS42" i="1"/>
  <c r="EG42" i="1"/>
  <c r="BW42" i="1"/>
  <c r="S41" i="1"/>
  <c r="S46" i="1" s="1"/>
  <c r="J42" i="1"/>
  <c r="X42" i="1"/>
  <c r="AI42" i="1"/>
  <c r="AW42" i="1"/>
  <c r="BI42" i="1"/>
  <c r="BV42" i="1"/>
  <c r="CJ42" i="1"/>
  <c r="CU42" i="1"/>
  <c r="DI42" i="1"/>
  <c r="DU42" i="1"/>
  <c r="EH42" i="1"/>
  <c r="V41" i="1"/>
  <c r="V46" i="1" s="1"/>
  <c r="CW42" i="1"/>
  <c r="P67" i="1"/>
  <c r="H67" i="1"/>
  <c r="DS66" i="1"/>
  <c r="DK66" i="1"/>
  <c r="DC66" i="1"/>
  <c r="CU66" i="1"/>
  <c r="CM66" i="1"/>
  <c r="CE66" i="1"/>
  <c r="BW66" i="1"/>
  <c r="BO66" i="1"/>
  <c r="BG66" i="1"/>
  <c r="AY66" i="1"/>
  <c r="AQ66" i="1"/>
  <c r="AI66" i="1"/>
  <c r="AA66" i="1"/>
  <c r="S66" i="1"/>
  <c r="K66" i="1"/>
  <c r="EG64" i="1"/>
  <c r="DY64" i="1"/>
  <c r="DQ64" i="1"/>
  <c r="DI64" i="1"/>
  <c r="DA64" i="1"/>
  <c r="CS64" i="1"/>
  <c r="CK64" i="1"/>
  <c r="CC64" i="1"/>
  <c r="BU64" i="1"/>
  <c r="BM64" i="1"/>
  <c r="BE64" i="1"/>
  <c r="AW64" i="1"/>
  <c r="AO64" i="1"/>
  <c r="AG64" i="1"/>
  <c r="Y64" i="1"/>
  <c r="Q64" i="1"/>
  <c r="I64" i="1"/>
  <c r="EJ64" i="1"/>
  <c r="EB64" i="1"/>
  <c r="DT64" i="1"/>
  <c r="DL64" i="1"/>
  <c r="DD64" i="1"/>
  <c r="CV64" i="1"/>
  <c r="CN64" i="1"/>
  <c r="CF64" i="1"/>
  <c r="BX64" i="1"/>
  <c r="BP64" i="1"/>
  <c r="BH64" i="1"/>
  <c r="AZ64" i="1"/>
  <c r="AR64" i="1"/>
  <c r="AJ64" i="1"/>
  <c r="AB64" i="1"/>
  <c r="T64" i="1"/>
  <c r="L64" i="1"/>
  <c r="D64" i="1"/>
  <c r="R41" i="1"/>
  <c r="R46" i="1" s="1"/>
  <c r="BL41" i="1"/>
  <c r="BL46" i="1" s="1"/>
  <c r="AE41" i="1"/>
  <c r="AE46" i="1" s="1"/>
  <c r="L41" i="1"/>
  <c r="L46" i="1" s="1"/>
  <c r="AB41" i="1"/>
  <c r="AB46" i="1" s="1"/>
  <c r="J41" i="1"/>
  <c r="J46" i="1" s="1"/>
  <c r="X41" i="1"/>
  <c r="X46" i="1" s="1"/>
  <c r="F41" i="1"/>
  <c r="F46" i="1" s="1"/>
  <c r="D31" i="1"/>
  <c r="E31" i="1"/>
  <c r="F31" i="1"/>
  <c r="EJ42" i="1"/>
  <c r="EB42" i="1"/>
  <c r="DT42" i="1"/>
  <c r="DL42" i="1"/>
  <c r="DD42" i="1"/>
  <c r="CV42" i="1"/>
  <c r="CN42" i="1"/>
  <c r="CF42" i="1"/>
  <c r="BX42" i="1"/>
  <c r="BP42" i="1"/>
  <c r="BH42" i="1"/>
  <c r="AZ42" i="1"/>
  <c r="AR42" i="1"/>
  <c r="AJ42" i="1"/>
  <c r="AB42" i="1"/>
  <c r="T42" i="1"/>
  <c r="L42" i="1"/>
  <c r="D42" i="1"/>
  <c r="AF41" i="1"/>
  <c r="AF46" i="1" s="1"/>
  <c r="W41" i="1"/>
  <c r="W46" i="1" s="1"/>
  <c r="N41" i="1"/>
  <c r="N46" i="1" s="1"/>
  <c r="D41" i="1"/>
  <c r="D46" i="1" s="1"/>
  <c r="E30" i="1"/>
  <c r="D29" i="1"/>
  <c r="E29" i="1"/>
  <c r="F29" i="1"/>
  <c r="AD41" i="1"/>
  <c r="AD46" i="1" s="1"/>
  <c r="T41" i="1"/>
  <c r="T46" i="1" s="1"/>
  <c r="E41" i="1"/>
  <c r="E46" i="1" s="1"/>
  <c r="M41" i="1"/>
  <c r="M46" i="1" s="1"/>
  <c r="U41" i="1"/>
  <c r="U46" i="1" s="1"/>
  <c r="AC41" i="1"/>
  <c r="AC46" i="1" s="1"/>
  <c r="EE42" i="1"/>
  <c r="DW42" i="1"/>
  <c r="DO42" i="1"/>
  <c r="DG42" i="1"/>
  <c r="CY42" i="1"/>
  <c r="CQ42" i="1"/>
  <c r="CI42" i="1"/>
  <c r="CA42" i="1"/>
  <c r="BS42" i="1"/>
  <c r="BK42" i="1"/>
  <c r="BC42" i="1"/>
  <c r="AU42" i="1"/>
  <c r="AM42" i="1"/>
  <c r="AE42" i="1"/>
  <c r="W42" i="1"/>
  <c r="O42" i="1"/>
  <c r="G42" i="1"/>
  <c r="Z41" i="1"/>
  <c r="Z46" i="1" s="1"/>
  <c r="Q41" i="1"/>
  <c r="Q46" i="1" s="1"/>
  <c r="H41" i="1"/>
  <c r="H46" i="1" s="1"/>
  <c r="EL42" i="1"/>
  <c r="ED42" i="1"/>
  <c r="DV42" i="1"/>
  <c r="DN42" i="1"/>
  <c r="DF42" i="1"/>
  <c r="CX42" i="1"/>
  <c r="CP42" i="1"/>
  <c r="CH42" i="1"/>
  <c r="BZ42" i="1"/>
  <c r="BR42" i="1"/>
  <c r="BJ42" i="1"/>
  <c r="BB42" i="1"/>
  <c r="AT42" i="1"/>
  <c r="AL42" i="1"/>
  <c r="AD42" i="1"/>
  <c r="V42" i="1"/>
  <c r="N42" i="1"/>
  <c r="F42" i="1"/>
  <c r="AH41" i="1"/>
  <c r="AH46" i="1" s="1"/>
  <c r="Y41" i="1"/>
  <c r="Y46" i="1" s="1"/>
  <c r="P41" i="1"/>
  <c r="P46" i="1" s="1"/>
  <c r="G41" i="1"/>
  <c r="G46" i="1" s="1"/>
  <c r="F30" i="1"/>
  <c r="F28" i="1"/>
  <c r="E28" i="1"/>
  <c r="D68" i="1"/>
  <c r="D69" i="1"/>
  <c r="D99" i="1"/>
  <c r="C11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C47" i="1" l="1"/>
  <c r="C51" i="1" s="1"/>
  <c r="DP41" i="1"/>
  <c r="DP46" i="1" s="1"/>
  <c r="DJ41" i="1"/>
  <c r="DJ46" i="1" s="1"/>
  <c r="AT41" i="1"/>
  <c r="AT46" i="1" s="1"/>
  <c r="AI60" i="1"/>
  <c r="DX41" i="1"/>
  <c r="DX46" i="1" s="1"/>
  <c r="AL41" i="1"/>
  <c r="AL46" i="1" s="1"/>
  <c r="CX41" i="1"/>
  <c r="CX46" i="1" s="1"/>
  <c r="AP41" i="1"/>
  <c r="AP46" i="1" s="1"/>
  <c r="CE41" i="1"/>
  <c r="CE46" i="1" s="1"/>
  <c r="AR41" i="1"/>
  <c r="AR46" i="1" s="1"/>
  <c r="BD41" i="1"/>
  <c r="BD46" i="1" s="1"/>
  <c r="DF41" i="1"/>
  <c r="DF46" i="1" s="1"/>
  <c r="DB41" i="1"/>
  <c r="DB46" i="1" s="1"/>
  <c r="CM41" i="1"/>
  <c r="CM46" i="1" s="1"/>
  <c r="AZ41" i="1"/>
  <c r="AZ46" i="1" s="1"/>
  <c r="AX41" i="1"/>
  <c r="AX46" i="1" s="1"/>
  <c r="AO41" i="1"/>
  <c r="AO46" i="1" s="1"/>
  <c r="BK41" i="1"/>
  <c r="BK46" i="1" s="1"/>
  <c r="CG41" i="1"/>
  <c r="CG46" i="1" s="1"/>
  <c r="CW41" i="1"/>
  <c r="CW46" i="1" s="1"/>
  <c r="DM41" i="1"/>
  <c r="DM46" i="1" s="1"/>
  <c r="EC41" i="1"/>
  <c r="EC46" i="1" s="1"/>
  <c r="BI41" i="1"/>
  <c r="BI46" i="1" s="1"/>
  <c r="AS41" i="1"/>
  <c r="AS46" i="1" s="1"/>
  <c r="BM41" i="1"/>
  <c r="BM46" i="1" s="1"/>
  <c r="CI41" i="1"/>
  <c r="CI46" i="1" s="1"/>
  <c r="CY41" i="1"/>
  <c r="CY46" i="1" s="1"/>
  <c r="DO41" i="1"/>
  <c r="DO46" i="1" s="1"/>
  <c r="EE41" i="1"/>
  <c r="EE46" i="1" s="1"/>
  <c r="EB41" i="1"/>
  <c r="EB46" i="1" s="1"/>
  <c r="AU41" i="1"/>
  <c r="AU46" i="1" s="1"/>
  <c r="BQ41" i="1"/>
  <c r="BQ46" i="1" s="1"/>
  <c r="CK41" i="1"/>
  <c r="CK46" i="1" s="1"/>
  <c r="DA41" i="1"/>
  <c r="DA46" i="1" s="1"/>
  <c r="DQ41" i="1"/>
  <c r="DQ46" i="1" s="1"/>
  <c r="EG41" i="1"/>
  <c r="EG46" i="1" s="1"/>
  <c r="DL41" i="1"/>
  <c r="DL46" i="1" s="1"/>
  <c r="AW41" i="1"/>
  <c r="AW46" i="1" s="1"/>
  <c r="BS41" i="1"/>
  <c r="BS46" i="1" s="1"/>
  <c r="CN41" i="1"/>
  <c r="CN46" i="1" s="1"/>
  <c r="DD41" i="1"/>
  <c r="DD46" i="1" s="1"/>
  <c r="DT41" i="1"/>
  <c r="DT46" i="1" s="1"/>
  <c r="EJ41" i="1"/>
  <c r="EJ46" i="1" s="1"/>
  <c r="CV41" i="1"/>
  <c r="CV46" i="1" s="1"/>
  <c r="BA41" i="1"/>
  <c r="BA46" i="1" s="1"/>
  <c r="BU41" i="1"/>
  <c r="BU46" i="1" s="1"/>
  <c r="CO41" i="1"/>
  <c r="CO46" i="1" s="1"/>
  <c r="DE41" i="1"/>
  <c r="DE46" i="1" s="1"/>
  <c r="DU41" i="1"/>
  <c r="DU46" i="1" s="1"/>
  <c r="EK41" i="1"/>
  <c r="EK46" i="1" s="1"/>
  <c r="CC41" i="1"/>
  <c r="CC46" i="1" s="1"/>
  <c r="BC41" i="1"/>
  <c r="BC46" i="1" s="1"/>
  <c r="BY41" i="1"/>
  <c r="BY46" i="1" s="1"/>
  <c r="CQ41" i="1"/>
  <c r="CQ46" i="1" s="1"/>
  <c r="DG41" i="1"/>
  <c r="DG46" i="1" s="1"/>
  <c r="DW41" i="1"/>
  <c r="DW46" i="1" s="1"/>
  <c r="AK41" i="1"/>
  <c r="AK46" i="1" s="1"/>
  <c r="BE41" i="1"/>
  <c r="BE46" i="1" s="1"/>
  <c r="CA41" i="1"/>
  <c r="CA46" i="1" s="1"/>
  <c r="CS41" i="1"/>
  <c r="CS46" i="1" s="1"/>
  <c r="DI41" i="1"/>
  <c r="DI46" i="1" s="1"/>
  <c r="DY41" i="1"/>
  <c r="DY46" i="1" s="1"/>
  <c r="AM41" i="1"/>
  <c r="AM46" i="1" s="1"/>
  <c r="BF41" i="1"/>
  <c r="BF46" i="1" s="1"/>
  <c r="AI41" i="1"/>
  <c r="AI46" i="1" s="1"/>
  <c r="BB41" i="1"/>
  <c r="BB46" i="1" s="1"/>
  <c r="BT41" i="1"/>
  <c r="BT46" i="1" s="1"/>
  <c r="DZ41" i="1"/>
  <c r="DZ46" i="1" s="1"/>
  <c r="AQ41" i="1"/>
  <c r="AQ46" i="1" s="1"/>
  <c r="DC41" i="1"/>
  <c r="DC46" i="1" s="1"/>
  <c r="BP41" i="1"/>
  <c r="BP46" i="1" s="1"/>
  <c r="BJ41" i="1"/>
  <c r="BJ46" i="1" s="1"/>
  <c r="DV41" i="1"/>
  <c r="DV46" i="1" s="1"/>
  <c r="CB41" i="1"/>
  <c r="CB46" i="1" s="1"/>
  <c r="BN41" i="1"/>
  <c r="BN46" i="1" s="1"/>
  <c r="BV41" i="1"/>
  <c r="BV46" i="1" s="1"/>
  <c r="EH41" i="1"/>
  <c r="EH46" i="1" s="1"/>
  <c r="AY41" i="1"/>
  <c r="AY46" i="1" s="1"/>
  <c r="DK41" i="1"/>
  <c r="DK46" i="1" s="1"/>
  <c r="BX41" i="1"/>
  <c r="BX46" i="1" s="1"/>
  <c r="BR41" i="1"/>
  <c r="BR46" i="1" s="1"/>
  <c r="ED41" i="1"/>
  <c r="ED46" i="1" s="1"/>
  <c r="CJ41" i="1"/>
  <c r="CJ46" i="1" s="1"/>
  <c r="DR41" i="1"/>
  <c r="DR46" i="1" s="1"/>
  <c r="DN41" i="1"/>
  <c r="DN46" i="1" s="1"/>
  <c r="EF41" i="1"/>
  <c r="EF46" i="1" s="1"/>
  <c r="CD41" i="1"/>
  <c r="CD46" i="1" s="1"/>
  <c r="BG41" i="1"/>
  <c r="BG46" i="1" s="1"/>
  <c r="DS41" i="1"/>
  <c r="DS46" i="1" s="1"/>
  <c r="CF41" i="1"/>
  <c r="CF46" i="1" s="1"/>
  <c r="BZ41" i="1"/>
  <c r="BZ46" i="1" s="1"/>
  <c r="EL41" i="1"/>
  <c r="EL46" i="1" s="1"/>
  <c r="CR41" i="1"/>
  <c r="CR46" i="1" s="1"/>
  <c r="CU41" i="1"/>
  <c r="CU46" i="1" s="1"/>
  <c r="BH41" i="1"/>
  <c r="BH46" i="1" s="1"/>
  <c r="CL41" i="1"/>
  <c r="CL46" i="1" s="1"/>
  <c r="BO41" i="1"/>
  <c r="BO46" i="1" s="1"/>
  <c r="EA41" i="1"/>
  <c r="EA46" i="1" s="1"/>
  <c r="CH41" i="1"/>
  <c r="CH46" i="1" s="1"/>
  <c r="AN41" i="1"/>
  <c r="AN46" i="1" s="1"/>
  <c r="CZ41" i="1"/>
  <c r="CZ46" i="1" s="1"/>
  <c r="CT41" i="1"/>
  <c r="CT46" i="1" s="1"/>
  <c r="BW41" i="1"/>
  <c r="BW46" i="1" s="1"/>
  <c r="EI41" i="1"/>
  <c r="EI46" i="1" s="1"/>
  <c r="AJ41" i="1"/>
  <c r="AJ46" i="1" s="1"/>
  <c r="CP41" i="1"/>
  <c r="CP46" i="1" s="1"/>
  <c r="AV41" i="1"/>
  <c r="AV46" i="1" s="1"/>
  <c r="DH41" i="1"/>
  <c r="DH46" i="1" s="1"/>
  <c r="D114" i="1"/>
  <c r="E113" i="1" l="1"/>
  <c r="E69" i="1" s="1"/>
  <c r="E112" i="1"/>
  <c r="D108" i="1"/>
  <c r="AJ60" i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DC60" i="1" s="1"/>
  <c r="DD60" i="1" s="1"/>
  <c r="DE60" i="1" s="1"/>
  <c r="DF60" i="1" s="1"/>
  <c r="DG60" i="1" s="1"/>
  <c r="DH60" i="1" s="1"/>
  <c r="DI60" i="1" s="1"/>
  <c r="DJ60" i="1" s="1"/>
  <c r="DK60" i="1" s="1"/>
  <c r="DL60" i="1" s="1"/>
  <c r="DM60" i="1" s="1"/>
  <c r="DN60" i="1" s="1"/>
  <c r="DO60" i="1" s="1"/>
  <c r="DP60" i="1" s="1"/>
  <c r="DQ60" i="1" s="1"/>
  <c r="DR60" i="1" s="1"/>
  <c r="DS60" i="1" s="1"/>
  <c r="DT60" i="1" s="1"/>
  <c r="DU60" i="1" s="1"/>
  <c r="DV60" i="1" s="1"/>
  <c r="DW60" i="1" s="1"/>
  <c r="DX60" i="1" s="1"/>
  <c r="DY60" i="1" s="1"/>
  <c r="DZ60" i="1" s="1"/>
  <c r="EA60" i="1" s="1"/>
  <c r="EB60" i="1" s="1"/>
  <c r="EC60" i="1" s="1"/>
  <c r="ED60" i="1" s="1"/>
  <c r="EE60" i="1" s="1"/>
  <c r="EF60" i="1" s="1"/>
  <c r="EG60" i="1" s="1"/>
  <c r="EH60" i="1" s="1"/>
  <c r="EI60" i="1" s="1"/>
  <c r="EJ60" i="1" s="1"/>
  <c r="EK60" i="1" s="1"/>
  <c r="EL60" i="1" s="1"/>
  <c r="C12" i="1" l="1"/>
  <c r="C13" i="1" s="1"/>
  <c r="D111" i="1"/>
  <c r="D101" i="1"/>
  <c r="D77" i="1"/>
  <c r="I77" i="1" s="1"/>
  <c r="D76" i="1"/>
  <c r="I76" i="1" s="1"/>
  <c r="D75" i="1"/>
  <c r="E114" i="1"/>
  <c r="D118" i="1" l="1"/>
  <c r="D23" i="1" s="1"/>
  <c r="E110" i="1"/>
  <c r="E68" i="1" s="1"/>
  <c r="F112" i="1"/>
  <c r="F113" i="1"/>
  <c r="F69" i="1" s="1"/>
  <c r="E99" i="1"/>
  <c r="D119" i="1"/>
  <c r="D79" i="1"/>
  <c r="I75" i="1"/>
  <c r="D24" i="1" l="1"/>
  <c r="D47" i="1" s="1"/>
  <c r="D51" i="1" s="1"/>
  <c r="F114" i="1"/>
  <c r="E95" i="1" l="1"/>
  <c r="E98" i="1" s="1"/>
  <c r="E101" i="1" s="1"/>
  <c r="F99" i="1" s="1"/>
  <c r="E108" i="1"/>
  <c r="E111" i="1" s="1"/>
  <c r="D52" i="1"/>
  <c r="D12" i="1"/>
  <c r="D13" i="1" s="1"/>
  <c r="G112" i="1"/>
  <c r="G113" i="1"/>
  <c r="G69" i="1" s="1"/>
  <c r="F110" i="1" l="1"/>
  <c r="F68" i="1" s="1"/>
  <c r="E118" i="1"/>
  <c r="E119" i="1"/>
  <c r="G114" i="1"/>
  <c r="E23" i="1" l="1"/>
  <c r="E24" i="1" s="1"/>
  <c r="H112" i="1"/>
  <c r="H113" i="1"/>
  <c r="H69" i="1" s="1"/>
  <c r="E47" i="1" l="1"/>
  <c r="E51" i="1" s="1"/>
  <c r="H114" i="1"/>
  <c r="F108" i="1" l="1"/>
  <c r="F111" i="1" s="1"/>
  <c r="F95" i="1"/>
  <c r="F98" i="1" s="1"/>
  <c r="E12" i="1"/>
  <c r="E13" i="1" s="1"/>
  <c r="E52" i="1"/>
  <c r="I113" i="1"/>
  <c r="I69" i="1" s="1"/>
  <c r="I112" i="1"/>
  <c r="I114" i="1" l="1"/>
  <c r="F101" i="1"/>
  <c r="F118" i="1"/>
  <c r="J113" i="1"/>
  <c r="J69" i="1" s="1"/>
  <c r="J112" i="1"/>
  <c r="J114" i="1" s="1"/>
  <c r="G110" i="1"/>
  <c r="G68" i="1" s="1"/>
  <c r="K113" i="1" l="1"/>
  <c r="K69" i="1" s="1"/>
  <c r="K112" i="1"/>
  <c r="F23" i="1"/>
  <c r="G99" i="1"/>
  <c r="F119" i="1"/>
  <c r="K114" i="1"/>
  <c r="F24" i="1" l="1"/>
  <c r="F47" i="1" s="1"/>
  <c r="F51" i="1" s="1"/>
  <c r="L113" i="1"/>
  <c r="L69" i="1" s="1"/>
  <c r="L112" i="1"/>
  <c r="F12" i="1" l="1"/>
  <c r="F13" i="1" s="1"/>
  <c r="G95" i="1"/>
  <c r="G98" i="1" s="1"/>
  <c r="F52" i="1"/>
  <c r="G108" i="1"/>
  <c r="G111" i="1" s="1"/>
  <c r="L114" i="1"/>
  <c r="H110" i="1" l="1"/>
  <c r="H68" i="1" s="1"/>
  <c r="M113" i="1"/>
  <c r="M69" i="1" s="1"/>
  <c r="M112" i="1"/>
  <c r="M114" i="1" s="1"/>
  <c r="G118" i="1"/>
  <c r="G23" i="1" s="1"/>
  <c r="G101" i="1"/>
  <c r="N112" i="1" l="1"/>
  <c r="N113" i="1"/>
  <c r="H99" i="1"/>
  <c r="G119" i="1"/>
  <c r="G24" i="1"/>
  <c r="G47" i="1" s="1"/>
  <c r="G51" i="1" s="1"/>
  <c r="N69" i="1"/>
  <c r="G12" i="1" l="1"/>
  <c r="G13" i="1" s="1"/>
  <c r="H108" i="1"/>
  <c r="H111" i="1" s="1"/>
  <c r="H95" i="1"/>
  <c r="H98" i="1" s="1"/>
  <c r="G52" i="1"/>
  <c r="N114" i="1"/>
  <c r="O112" i="1" l="1"/>
  <c r="O113" i="1"/>
  <c r="O69" i="1" s="1"/>
  <c r="H101" i="1"/>
  <c r="H118" i="1"/>
  <c r="H23" i="1" s="1"/>
  <c r="I110" i="1"/>
  <c r="I68" i="1" s="1"/>
  <c r="H24" i="1" l="1"/>
  <c r="H47" i="1" s="1"/>
  <c r="H51" i="1" s="1"/>
  <c r="H119" i="1"/>
  <c r="I99" i="1"/>
  <c r="O114" i="1"/>
  <c r="H12" i="1" l="1"/>
  <c r="H13" i="1" s="1"/>
  <c r="H52" i="1"/>
  <c r="I108" i="1"/>
  <c r="I111" i="1" s="1"/>
  <c r="I95" i="1"/>
  <c r="I98" i="1" s="1"/>
  <c r="P112" i="1"/>
  <c r="P113" i="1"/>
  <c r="P69" i="1" s="1"/>
  <c r="P114" i="1" l="1"/>
  <c r="I118" i="1"/>
  <c r="I23" i="1" s="1"/>
  <c r="I101" i="1"/>
  <c r="J110" i="1"/>
  <c r="J68" i="1" s="1"/>
  <c r="I24" i="1" l="1"/>
  <c r="I47" i="1" s="1"/>
  <c r="I51" i="1" s="1"/>
  <c r="I119" i="1"/>
  <c r="J99" i="1"/>
  <c r="Q113" i="1"/>
  <c r="Q69" i="1" s="1"/>
  <c r="Q112" i="1"/>
  <c r="Q114" i="1" s="1"/>
  <c r="R113" i="1" l="1"/>
  <c r="R112" i="1"/>
  <c r="I12" i="1"/>
  <c r="I13" i="1" s="1"/>
  <c r="J95" i="1"/>
  <c r="J98" i="1" s="1"/>
  <c r="I52" i="1"/>
  <c r="J108" i="1"/>
  <c r="J111" i="1" s="1"/>
  <c r="R69" i="1"/>
  <c r="K110" i="1" l="1"/>
  <c r="K68" i="1" s="1"/>
  <c r="J101" i="1"/>
  <c r="J118" i="1"/>
  <c r="J23" i="1" s="1"/>
  <c r="R114" i="1"/>
  <c r="S113" i="1" l="1"/>
  <c r="S112" i="1"/>
  <c r="K99" i="1"/>
  <c r="J119" i="1"/>
  <c r="J24" i="1"/>
  <c r="J47" i="1" s="1"/>
  <c r="J51" i="1" s="1"/>
  <c r="S69" i="1"/>
  <c r="J12" i="1" l="1"/>
  <c r="J13" i="1" s="1"/>
  <c r="K108" i="1"/>
  <c r="K111" i="1" s="1"/>
  <c r="J52" i="1"/>
  <c r="K95" i="1"/>
  <c r="K98" i="1" s="1"/>
  <c r="S114" i="1"/>
  <c r="T113" i="1" l="1"/>
  <c r="T69" i="1" s="1"/>
  <c r="T112" i="1"/>
  <c r="T114" i="1" s="1"/>
  <c r="K101" i="1"/>
  <c r="K118" i="1"/>
  <c r="K23" i="1" s="1"/>
  <c r="L110" i="1"/>
  <c r="L68" i="1" s="1"/>
  <c r="U113" i="1" l="1"/>
  <c r="U69" i="1" s="1"/>
  <c r="U112" i="1"/>
  <c r="K119" i="1"/>
  <c r="L99" i="1"/>
  <c r="K24" i="1"/>
  <c r="K47" i="1" s="1"/>
  <c r="K51" i="1" s="1"/>
  <c r="U114" i="1"/>
  <c r="K12" i="1" l="1"/>
  <c r="K13" i="1" s="1"/>
  <c r="K52" i="1"/>
  <c r="L95" i="1"/>
  <c r="L98" i="1" s="1"/>
  <c r="L108" i="1"/>
  <c r="L111" i="1" s="1"/>
  <c r="V112" i="1"/>
  <c r="V113" i="1"/>
  <c r="V69" i="1" s="1"/>
  <c r="V114" i="1" l="1"/>
  <c r="W112" i="1"/>
  <c r="W113" i="1"/>
  <c r="W69" i="1" s="1"/>
  <c r="M110" i="1"/>
  <c r="M68" i="1" s="1"/>
  <c r="L118" i="1"/>
  <c r="L23" i="1" s="1"/>
  <c r="L101" i="1"/>
  <c r="L119" i="1" l="1"/>
  <c r="M99" i="1"/>
  <c r="L24" i="1"/>
  <c r="L47" i="1" s="1"/>
  <c r="L51" i="1" s="1"/>
  <c r="W114" i="1"/>
  <c r="L12" i="1" l="1"/>
  <c r="L13" i="1" s="1"/>
  <c r="M95" i="1"/>
  <c r="M98" i="1" s="1"/>
  <c r="M108" i="1"/>
  <c r="M111" i="1" s="1"/>
  <c r="L52" i="1"/>
  <c r="X112" i="1"/>
  <c r="X113" i="1"/>
  <c r="X69" i="1" s="1"/>
  <c r="X114" i="1" l="1"/>
  <c r="Y113" i="1" s="1"/>
  <c r="Y69" i="1" s="1"/>
  <c r="Y112" i="1"/>
  <c r="M118" i="1"/>
  <c r="M23" i="1" s="1"/>
  <c r="M101" i="1"/>
  <c r="N110" i="1"/>
  <c r="N68" i="1" s="1"/>
  <c r="N99" i="1" l="1"/>
  <c r="M119" i="1"/>
  <c r="M24" i="1"/>
  <c r="M47" i="1" s="1"/>
  <c r="M51" i="1" s="1"/>
  <c r="Y114" i="1"/>
  <c r="Z113" i="1" l="1"/>
  <c r="Z112" i="1"/>
  <c r="M12" i="1"/>
  <c r="M13" i="1" s="1"/>
  <c r="N108" i="1"/>
  <c r="N111" i="1" s="1"/>
  <c r="M52" i="1"/>
  <c r="N95" i="1"/>
  <c r="N98" i="1" s="1"/>
  <c r="Z69" i="1"/>
  <c r="O110" i="1" l="1"/>
  <c r="O68" i="1" s="1"/>
  <c r="N101" i="1"/>
  <c r="N118" i="1"/>
  <c r="N23" i="1" s="1"/>
  <c r="Z114" i="1"/>
  <c r="AA113" i="1" l="1"/>
  <c r="AA69" i="1" s="1"/>
  <c r="AA112" i="1"/>
  <c r="O99" i="1"/>
  <c r="N119" i="1"/>
  <c r="N24" i="1"/>
  <c r="N47" i="1" s="1"/>
  <c r="N51" i="1" s="1"/>
  <c r="AA114" i="1" l="1"/>
  <c r="AB113" i="1" s="1"/>
  <c r="AB69" i="1" s="1"/>
  <c r="N12" i="1"/>
  <c r="N13" i="1" s="1"/>
  <c r="O108" i="1"/>
  <c r="O111" i="1" s="1"/>
  <c r="N52" i="1"/>
  <c r="O95" i="1"/>
  <c r="O98" i="1" s="1"/>
  <c r="AB112" i="1"/>
  <c r="O101" i="1" l="1"/>
  <c r="O118" i="1"/>
  <c r="O23" i="1" s="1"/>
  <c r="P110" i="1"/>
  <c r="P68" i="1" s="1"/>
  <c r="AB114" i="1"/>
  <c r="AC113" i="1" l="1"/>
  <c r="AC69" i="1" s="1"/>
  <c r="AC112" i="1"/>
  <c r="O24" i="1"/>
  <c r="O47" i="1" s="1"/>
  <c r="O51" i="1" s="1"/>
  <c r="P99" i="1"/>
  <c r="O119" i="1"/>
  <c r="AC114" i="1"/>
  <c r="O12" i="1" l="1"/>
  <c r="O13" i="1" s="1"/>
  <c r="O52" i="1"/>
  <c r="P95" i="1"/>
  <c r="P98" i="1" s="1"/>
  <c r="P108" i="1"/>
  <c r="P111" i="1" s="1"/>
  <c r="AD112" i="1"/>
  <c r="AD113" i="1"/>
  <c r="AD69" i="1" s="1"/>
  <c r="Q110" i="1" l="1"/>
  <c r="Q68" i="1" s="1"/>
  <c r="P101" i="1"/>
  <c r="P118" i="1"/>
  <c r="P23" i="1" s="1"/>
  <c r="AD114" i="1"/>
  <c r="P24" i="1" l="1"/>
  <c r="P47" i="1" s="1"/>
  <c r="P51" i="1" s="1"/>
  <c r="AE112" i="1"/>
  <c r="AE113" i="1"/>
  <c r="AE69" i="1" s="1"/>
  <c r="Q99" i="1"/>
  <c r="P119" i="1"/>
  <c r="AE114" i="1" l="1"/>
  <c r="P12" i="1"/>
  <c r="P13" i="1" s="1"/>
  <c r="Q108" i="1"/>
  <c r="Q111" i="1" s="1"/>
  <c r="Q95" i="1"/>
  <c r="Q98" i="1" s="1"/>
  <c r="P52" i="1"/>
  <c r="AF112" i="1"/>
  <c r="AF113" i="1"/>
  <c r="AF69" i="1" s="1"/>
  <c r="Q101" i="1" l="1"/>
  <c r="Q118" i="1"/>
  <c r="Q23" i="1" s="1"/>
  <c r="R110" i="1"/>
  <c r="R68" i="1" s="1"/>
  <c r="AF114" i="1"/>
  <c r="AG113" i="1" l="1"/>
  <c r="AG69" i="1" s="1"/>
  <c r="AG112" i="1"/>
  <c r="Q24" i="1"/>
  <c r="Q47" i="1" s="1"/>
  <c r="Q51" i="1" s="1"/>
  <c r="R99" i="1"/>
  <c r="Q119" i="1"/>
  <c r="AG114" i="1"/>
  <c r="Q12" i="1" l="1"/>
  <c r="Q13" i="1" s="1"/>
  <c r="R108" i="1"/>
  <c r="R111" i="1" s="1"/>
  <c r="R95" i="1"/>
  <c r="R98" i="1" s="1"/>
  <c r="Q52" i="1"/>
  <c r="AH113" i="1"/>
  <c r="AH69" i="1" s="1"/>
  <c r="AH112" i="1"/>
  <c r="AH114" i="1" s="1"/>
  <c r="AI113" i="1" l="1"/>
  <c r="AI69" i="1" s="1"/>
  <c r="AI112" i="1"/>
  <c r="R101" i="1"/>
  <c r="R118" i="1"/>
  <c r="R23" i="1" s="1"/>
  <c r="S110" i="1"/>
  <c r="S68" i="1" s="1"/>
  <c r="AI114" i="1" l="1"/>
  <c r="AJ113" i="1" s="1"/>
  <c r="R24" i="1"/>
  <c r="R47" i="1" s="1"/>
  <c r="R51" i="1" s="1"/>
  <c r="R119" i="1"/>
  <c r="S99" i="1"/>
  <c r="AJ112" i="1" l="1"/>
  <c r="AJ69" i="1"/>
  <c r="AJ114" i="1"/>
  <c r="AK113" i="1" s="1"/>
  <c r="AK69" i="1" s="1"/>
  <c r="AK112" i="1"/>
  <c r="R12" i="1"/>
  <c r="R13" i="1" s="1"/>
  <c r="S108" i="1"/>
  <c r="S111" i="1" s="1"/>
  <c r="S95" i="1"/>
  <c r="S98" i="1" s="1"/>
  <c r="R52" i="1"/>
  <c r="S101" i="1" l="1"/>
  <c r="S118" i="1"/>
  <c r="S23" i="1" s="1"/>
  <c r="T110" i="1"/>
  <c r="T68" i="1" s="1"/>
  <c r="AK114" i="1"/>
  <c r="AL112" i="1" l="1"/>
  <c r="AL113" i="1"/>
  <c r="AL69" i="1" s="1"/>
  <c r="S24" i="1"/>
  <c r="S47" i="1" s="1"/>
  <c r="S51" i="1" s="1"/>
  <c r="S119" i="1"/>
  <c r="T99" i="1"/>
  <c r="S12" i="1" l="1"/>
  <c r="S13" i="1" s="1"/>
  <c r="T95" i="1"/>
  <c r="T98" i="1" s="1"/>
  <c r="T108" i="1"/>
  <c r="T111" i="1" s="1"/>
  <c r="S52" i="1"/>
  <c r="AL114" i="1"/>
  <c r="AM112" i="1" l="1"/>
  <c r="AM113" i="1"/>
  <c r="AM69" i="1" s="1"/>
  <c r="U110" i="1"/>
  <c r="U68" i="1" s="1"/>
  <c r="T101" i="1"/>
  <c r="T118" i="1"/>
  <c r="T23" i="1" s="1"/>
  <c r="AM114" i="1" l="1"/>
  <c r="U99" i="1"/>
  <c r="T119" i="1"/>
  <c r="T24" i="1"/>
  <c r="T47" i="1" s="1"/>
  <c r="T51" i="1" s="1"/>
  <c r="AN112" i="1"/>
  <c r="AN113" i="1"/>
  <c r="AN69" i="1" s="1"/>
  <c r="AN114" i="1" l="1"/>
  <c r="AO113" i="1" s="1"/>
  <c r="AO69" i="1" s="1"/>
  <c r="AO112" i="1"/>
  <c r="T12" i="1"/>
  <c r="T13" i="1" s="1"/>
  <c r="U95" i="1"/>
  <c r="U98" i="1" s="1"/>
  <c r="T52" i="1"/>
  <c r="U108" i="1"/>
  <c r="U111" i="1" s="1"/>
  <c r="U101" i="1" l="1"/>
  <c r="U118" i="1"/>
  <c r="U23" i="1" s="1"/>
  <c r="V110" i="1"/>
  <c r="V68" i="1" s="1"/>
  <c r="AO114" i="1"/>
  <c r="AP113" i="1" l="1"/>
  <c r="AP112" i="1"/>
  <c r="U24" i="1"/>
  <c r="U47" i="1" s="1"/>
  <c r="U51" i="1" s="1"/>
  <c r="U119" i="1"/>
  <c r="V99" i="1"/>
  <c r="AP69" i="1"/>
  <c r="U12" i="1" l="1"/>
  <c r="U13" i="1" s="1"/>
  <c r="V95" i="1"/>
  <c r="V98" i="1" s="1"/>
  <c r="V108" i="1"/>
  <c r="V111" i="1" s="1"/>
  <c r="U52" i="1"/>
  <c r="AP114" i="1"/>
  <c r="AQ113" i="1" l="1"/>
  <c r="AQ112" i="1"/>
  <c r="W110" i="1"/>
  <c r="W68" i="1" s="1"/>
  <c r="V101" i="1"/>
  <c r="V118" i="1"/>
  <c r="V23" i="1" s="1"/>
  <c r="AQ69" i="1"/>
  <c r="V24" i="1" l="1"/>
  <c r="V47" i="1" s="1"/>
  <c r="V51" i="1" s="1"/>
  <c r="W99" i="1"/>
  <c r="V119" i="1"/>
  <c r="AQ114" i="1"/>
  <c r="V12" i="1" l="1"/>
  <c r="V13" i="1" s="1"/>
  <c r="W95" i="1"/>
  <c r="W98" i="1" s="1"/>
  <c r="V52" i="1"/>
  <c r="W108" i="1"/>
  <c r="W111" i="1" s="1"/>
  <c r="AR113" i="1"/>
  <c r="AR69" i="1" s="1"/>
  <c r="AR112" i="1"/>
  <c r="AR114" i="1" s="1"/>
  <c r="AS113" i="1" l="1"/>
  <c r="AS112" i="1"/>
  <c r="X110" i="1"/>
  <c r="X68" i="1" s="1"/>
  <c r="W118" i="1"/>
  <c r="W23" i="1" s="1"/>
  <c r="W101" i="1"/>
  <c r="AS69" i="1"/>
  <c r="AS114" i="1"/>
  <c r="X99" i="1" l="1"/>
  <c r="W119" i="1"/>
  <c r="AT112" i="1"/>
  <c r="AT113" i="1"/>
  <c r="AT69" i="1" s="1"/>
  <c r="W24" i="1"/>
  <c r="W47" i="1" s="1"/>
  <c r="W51" i="1" s="1"/>
  <c r="AT114" i="1" l="1"/>
  <c r="W12" i="1"/>
  <c r="W13" i="1" s="1"/>
  <c r="X95" i="1"/>
  <c r="X98" i="1" s="1"/>
  <c r="X108" i="1"/>
  <c r="X111" i="1" s="1"/>
  <c r="W52" i="1"/>
  <c r="AU112" i="1"/>
  <c r="AU113" i="1"/>
  <c r="AU69" i="1" s="1"/>
  <c r="Y110" i="1" l="1"/>
  <c r="Y68" i="1" s="1"/>
  <c r="X101" i="1"/>
  <c r="X118" i="1"/>
  <c r="X23" i="1" s="1"/>
  <c r="AU114" i="1"/>
  <c r="AV112" i="1" l="1"/>
  <c r="AV113" i="1"/>
  <c r="AV69" i="1" s="1"/>
  <c r="X24" i="1"/>
  <c r="X47" i="1" s="1"/>
  <c r="X51" i="1" s="1"/>
  <c r="X119" i="1"/>
  <c r="Y99" i="1"/>
  <c r="AV114" i="1"/>
  <c r="X12" i="1" l="1"/>
  <c r="X13" i="1" s="1"/>
  <c r="X52" i="1"/>
  <c r="Y108" i="1"/>
  <c r="Y111" i="1" s="1"/>
  <c r="Y95" i="1"/>
  <c r="Y98" i="1" s="1"/>
  <c r="AW113" i="1"/>
  <c r="AW69" i="1" s="1"/>
  <c r="AW112" i="1"/>
  <c r="Y101" i="1" l="1"/>
  <c r="Y118" i="1"/>
  <c r="Y23" i="1" s="1"/>
  <c r="Z110" i="1"/>
  <c r="Z68" i="1" s="1"/>
  <c r="AW114" i="1"/>
  <c r="AX113" i="1" l="1"/>
  <c r="AX69" i="1" s="1"/>
  <c r="AX112" i="1"/>
  <c r="AX114" i="1" s="1"/>
  <c r="Y24" i="1"/>
  <c r="Y47" i="1" s="1"/>
  <c r="Y51" i="1" s="1"/>
  <c r="Y119" i="1"/>
  <c r="Z99" i="1"/>
  <c r="Y12" i="1" l="1"/>
  <c r="Y13" i="1" s="1"/>
  <c r="Z95" i="1"/>
  <c r="Z98" i="1" s="1"/>
  <c r="Y52" i="1"/>
  <c r="Z108" i="1"/>
  <c r="Z111" i="1" s="1"/>
  <c r="AY113" i="1"/>
  <c r="AY69" i="1" s="1"/>
  <c r="AY112" i="1"/>
  <c r="AY114" i="1" s="1"/>
  <c r="AZ113" i="1" l="1"/>
  <c r="AZ69" i="1" s="1"/>
  <c r="AZ112" i="1"/>
  <c r="Z101" i="1"/>
  <c r="Z118" i="1"/>
  <c r="Z23" i="1" s="1"/>
  <c r="AA110" i="1"/>
  <c r="AA68" i="1" s="1"/>
  <c r="AZ114" i="1" l="1"/>
  <c r="BA113" i="1"/>
  <c r="BA112" i="1"/>
  <c r="Z24" i="1"/>
  <c r="Z47" i="1" s="1"/>
  <c r="Z51" i="1" s="1"/>
  <c r="AA99" i="1"/>
  <c r="Z119" i="1"/>
  <c r="BA69" i="1"/>
  <c r="Z12" i="1" l="1"/>
  <c r="Z13" i="1" s="1"/>
  <c r="Z52" i="1"/>
  <c r="AA95" i="1"/>
  <c r="AA98" i="1" s="1"/>
  <c r="AA108" i="1"/>
  <c r="AA111" i="1" s="1"/>
  <c r="BA114" i="1"/>
  <c r="BB112" i="1" l="1"/>
  <c r="BB113" i="1"/>
  <c r="BB69" i="1" s="1"/>
  <c r="AA101" i="1"/>
  <c r="AA118" i="1"/>
  <c r="AA23" i="1" s="1"/>
  <c r="AB110" i="1"/>
  <c r="AB68" i="1" s="1"/>
  <c r="AA24" i="1" l="1"/>
  <c r="AA47" i="1" s="1"/>
  <c r="AA51" i="1" s="1"/>
  <c r="AB99" i="1"/>
  <c r="AA119" i="1"/>
  <c r="BB114" i="1"/>
  <c r="AA12" i="1" l="1"/>
  <c r="AA13" i="1" s="1"/>
  <c r="AA52" i="1"/>
  <c r="AB95" i="1"/>
  <c r="AB98" i="1" s="1"/>
  <c r="AB108" i="1"/>
  <c r="AB111" i="1" s="1"/>
  <c r="BC112" i="1"/>
  <c r="BC113" i="1"/>
  <c r="BC69" i="1" s="1"/>
  <c r="AC110" i="1" l="1"/>
  <c r="AC68" i="1" s="1"/>
  <c r="AB101" i="1"/>
  <c r="AB118" i="1"/>
  <c r="AB23" i="1" s="1"/>
  <c r="BC114" i="1"/>
  <c r="BD112" i="1" l="1"/>
  <c r="BD113" i="1"/>
  <c r="BD69" i="1" s="1"/>
  <c r="AB24" i="1"/>
  <c r="AB47" i="1" s="1"/>
  <c r="AB51" i="1" s="1"/>
  <c r="AC99" i="1"/>
  <c r="AB119" i="1"/>
  <c r="BD114" i="1" l="1"/>
  <c r="BE113" i="1"/>
  <c r="BE69" i="1" s="1"/>
  <c r="BE112" i="1"/>
  <c r="AB12" i="1"/>
  <c r="AB13" i="1" s="1"/>
  <c r="AC108" i="1"/>
  <c r="AC111" i="1" s="1"/>
  <c r="AB52" i="1"/>
  <c r="AC95" i="1"/>
  <c r="AC98" i="1" s="1"/>
  <c r="BE114" i="1"/>
  <c r="AC101" i="1" l="1"/>
  <c r="AC118" i="1"/>
  <c r="AC23" i="1" s="1"/>
  <c r="AD110" i="1"/>
  <c r="AD68" i="1" s="1"/>
  <c r="BF113" i="1"/>
  <c r="BF112" i="1"/>
  <c r="BF114" i="1" l="1"/>
  <c r="BG113" i="1"/>
  <c r="BG112" i="1"/>
  <c r="BF69" i="1"/>
  <c r="AC24" i="1"/>
  <c r="AC47" i="1" s="1"/>
  <c r="AC51" i="1" s="1"/>
  <c r="AD99" i="1"/>
  <c r="AC119" i="1"/>
  <c r="BG69" i="1"/>
  <c r="AC12" i="1" l="1"/>
  <c r="AC13" i="1" s="1"/>
  <c r="AC52" i="1"/>
  <c r="AD95" i="1"/>
  <c r="AD98" i="1" s="1"/>
  <c r="AD108" i="1"/>
  <c r="AD111" i="1" s="1"/>
  <c r="BG114" i="1"/>
  <c r="BH113" i="1" l="1"/>
  <c r="BH112" i="1"/>
  <c r="AE110" i="1"/>
  <c r="AE68" i="1" s="1"/>
  <c r="AD101" i="1"/>
  <c r="AD118" i="1"/>
  <c r="AD23" i="1" s="1"/>
  <c r="BH69" i="1"/>
  <c r="BH114" i="1"/>
  <c r="AE99" i="1" l="1"/>
  <c r="AD119" i="1"/>
  <c r="BI113" i="1"/>
  <c r="BI69" i="1" s="1"/>
  <c r="BI112" i="1"/>
  <c r="AD24" i="1"/>
  <c r="AD47" i="1" s="1"/>
  <c r="AD51" i="1" s="1"/>
  <c r="AD12" i="1" l="1"/>
  <c r="AD13" i="1" s="1"/>
  <c r="AE95" i="1"/>
  <c r="AE98" i="1" s="1"/>
  <c r="AD52" i="1"/>
  <c r="AE108" i="1"/>
  <c r="AE111" i="1" s="1"/>
  <c r="BI114" i="1"/>
  <c r="BJ112" i="1" l="1"/>
  <c r="BJ113" i="1"/>
  <c r="BJ69" i="1" s="1"/>
  <c r="AF110" i="1"/>
  <c r="AF68" i="1" s="1"/>
  <c r="AE101" i="1"/>
  <c r="AE118" i="1"/>
  <c r="AE23" i="1" s="1"/>
  <c r="BJ114" i="1"/>
  <c r="AE24" i="1" l="1"/>
  <c r="AE47" i="1" s="1"/>
  <c r="AE51" i="1" s="1"/>
  <c r="AE119" i="1"/>
  <c r="AF99" i="1"/>
  <c r="BK112" i="1"/>
  <c r="BK113" i="1"/>
  <c r="BK69" i="1" s="1"/>
  <c r="AE12" i="1" l="1"/>
  <c r="AE13" i="1" s="1"/>
  <c r="AE52" i="1"/>
  <c r="AF95" i="1"/>
  <c r="AF98" i="1" s="1"/>
  <c r="AF108" i="1"/>
  <c r="AF111" i="1" s="1"/>
  <c r="BK114" i="1"/>
  <c r="BL112" i="1" l="1"/>
  <c r="BL113" i="1"/>
  <c r="BL69" i="1" s="1"/>
  <c r="AG110" i="1"/>
  <c r="AG68" i="1" s="1"/>
  <c r="AF101" i="1"/>
  <c r="AF118" i="1"/>
  <c r="AF23" i="1" s="1"/>
  <c r="BL114" i="1"/>
  <c r="AF24" i="1" l="1"/>
  <c r="AF47" i="1" s="1"/>
  <c r="AF51" i="1" s="1"/>
  <c r="AF119" i="1"/>
  <c r="AG99" i="1"/>
  <c r="BM113" i="1"/>
  <c r="BM69" i="1" s="1"/>
  <c r="BM112" i="1"/>
  <c r="AF12" i="1" l="1"/>
  <c r="AF13" i="1" s="1"/>
  <c r="AG95" i="1"/>
  <c r="AG98" i="1" s="1"/>
  <c r="AG108" i="1"/>
  <c r="AG111" i="1" s="1"/>
  <c r="AF52" i="1"/>
  <c r="BM114" i="1"/>
  <c r="BN113" i="1" l="1"/>
  <c r="BN69" i="1" s="1"/>
  <c r="BN112" i="1"/>
  <c r="BN114" i="1" s="1"/>
  <c r="AH110" i="1"/>
  <c r="AH68" i="1" s="1"/>
  <c r="AG118" i="1"/>
  <c r="AG23" i="1" s="1"/>
  <c r="AG101" i="1"/>
  <c r="BO113" i="1" l="1"/>
  <c r="BO112" i="1"/>
  <c r="AG24" i="1"/>
  <c r="AG47" i="1" s="1"/>
  <c r="AG51" i="1" s="1"/>
  <c r="AH99" i="1"/>
  <c r="AG119" i="1"/>
  <c r="BO69" i="1"/>
  <c r="AG12" i="1" l="1"/>
  <c r="AG13" i="1" s="1"/>
  <c r="AH108" i="1"/>
  <c r="AH111" i="1" s="1"/>
  <c r="AH95" i="1"/>
  <c r="AH98" i="1" s="1"/>
  <c r="AG52" i="1"/>
  <c r="BO114" i="1"/>
  <c r="BP113" i="1" l="1"/>
  <c r="BP69" i="1" s="1"/>
  <c r="BP112" i="1"/>
  <c r="AI110" i="1"/>
  <c r="AI68" i="1" s="1"/>
  <c r="AH118" i="1"/>
  <c r="AH23" i="1" s="1"/>
  <c r="AH101" i="1"/>
  <c r="BP114" i="1" l="1"/>
  <c r="BQ113" i="1" s="1"/>
  <c r="BQ69" i="1" s="1"/>
  <c r="BQ112" i="1"/>
  <c r="AH24" i="1"/>
  <c r="AH47" i="1" s="1"/>
  <c r="AH51" i="1" s="1"/>
  <c r="AI99" i="1"/>
  <c r="AH119" i="1"/>
  <c r="BQ114" i="1" l="1"/>
  <c r="AH12" i="1"/>
  <c r="AH13" i="1" s="1"/>
  <c r="AI95" i="1"/>
  <c r="AI98" i="1" s="1"/>
  <c r="AH52" i="1"/>
  <c r="AI108" i="1"/>
  <c r="AI111" i="1" s="1"/>
  <c r="BR112" i="1"/>
  <c r="BR113" i="1"/>
  <c r="BR69" i="1" s="1"/>
  <c r="AJ110" i="1" l="1"/>
  <c r="AJ68" i="1" s="1"/>
  <c r="AI118" i="1"/>
  <c r="AI23" i="1" s="1"/>
  <c r="AI101" i="1"/>
  <c r="BR114" i="1"/>
  <c r="BS112" i="1" l="1"/>
  <c r="BS113" i="1"/>
  <c r="BS69" i="1" s="1"/>
  <c r="AJ99" i="1"/>
  <c r="AI119" i="1"/>
  <c r="AI24" i="1"/>
  <c r="AI47" i="1" s="1"/>
  <c r="AI51" i="1" s="1"/>
  <c r="BS114" i="1" l="1"/>
  <c r="AI12" i="1"/>
  <c r="AI13" i="1" s="1"/>
  <c r="AJ108" i="1"/>
  <c r="AJ111" i="1" s="1"/>
  <c r="AJ95" i="1"/>
  <c r="AJ98" i="1" s="1"/>
  <c r="AI52" i="1"/>
  <c r="BT112" i="1"/>
  <c r="BT113" i="1"/>
  <c r="BT69" i="1" s="1"/>
  <c r="AJ101" i="1" l="1"/>
  <c r="AJ118" i="1"/>
  <c r="AJ23" i="1" s="1"/>
  <c r="AK110" i="1"/>
  <c r="AK68" i="1" s="1"/>
  <c r="BT114" i="1"/>
  <c r="BU113" i="1" l="1"/>
  <c r="BU112" i="1"/>
  <c r="AJ24" i="1"/>
  <c r="AJ47" i="1" s="1"/>
  <c r="AJ51" i="1" s="1"/>
  <c r="AK99" i="1"/>
  <c r="AJ119" i="1"/>
  <c r="BU69" i="1"/>
  <c r="AJ12" i="1" l="1"/>
  <c r="AJ13" i="1" s="1"/>
  <c r="AJ52" i="1"/>
  <c r="AK95" i="1"/>
  <c r="AK98" i="1" s="1"/>
  <c r="AK108" i="1"/>
  <c r="AK111" i="1" s="1"/>
  <c r="BU114" i="1"/>
  <c r="BV113" i="1" l="1"/>
  <c r="BV69" i="1" s="1"/>
  <c r="BV112" i="1"/>
  <c r="AK118" i="1"/>
  <c r="AK23" i="1" s="1"/>
  <c r="AK101" i="1"/>
  <c r="AL110" i="1"/>
  <c r="AL68" i="1" s="1"/>
  <c r="BV114" i="1"/>
  <c r="AK119" i="1" l="1"/>
  <c r="AL99" i="1"/>
  <c r="BW113" i="1"/>
  <c r="BW69" i="1" s="1"/>
  <c r="BW112" i="1"/>
  <c r="BW114" i="1" s="1"/>
  <c r="AK24" i="1"/>
  <c r="AK47" i="1" s="1"/>
  <c r="AK51" i="1" s="1"/>
  <c r="BX113" i="1" l="1"/>
  <c r="BX69" i="1" s="1"/>
  <c r="BX112" i="1"/>
  <c r="AK12" i="1"/>
  <c r="AK13" i="1" s="1"/>
  <c r="AK52" i="1"/>
  <c r="AL108" i="1"/>
  <c r="AL111" i="1" s="1"/>
  <c r="AL95" i="1"/>
  <c r="AL98" i="1" s="1"/>
  <c r="BX114" i="1"/>
  <c r="BY113" i="1" l="1"/>
  <c r="BY112" i="1"/>
  <c r="BY114" i="1" s="1"/>
  <c r="AL101" i="1"/>
  <c r="AL118" i="1"/>
  <c r="AL23" i="1" s="1"/>
  <c r="AM110" i="1"/>
  <c r="AM68" i="1" s="1"/>
  <c r="BY69" i="1"/>
  <c r="AL24" i="1" l="1"/>
  <c r="AL47" i="1" s="1"/>
  <c r="AL51" i="1" s="1"/>
  <c r="BZ112" i="1"/>
  <c r="BZ113" i="1"/>
  <c r="AM99" i="1"/>
  <c r="AL119" i="1"/>
  <c r="BZ69" i="1"/>
  <c r="AL12" i="1" l="1"/>
  <c r="AL13" i="1" s="1"/>
  <c r="AM95" i="1"/>
  <c r="AM98" i="1" s="1"/>
  <c r="AL52" i="1"/>
  <c r="AM108" i="1"/>
  <c r="AM111" i="1" s="1"/>
  <c r="BZ114" i="1"/>
  <c r="CA112" i="1" l="1"/>
  <c r="CA113" i="1"/>
  <c r="CA69" i="1" s="1"/>
  <c r="AM101" i="1"/>
  <c r="AM118" i="1"/>
  <c r="AM23" i="1" s="1"/>
  <c r="AN110" i="1"/>
  <c r="AN68" i="1" s="1"/>
  <c r="CA114" i="1"/>
  <c r="AM24" i="1" l="1"/>
  <c r="AM47" i="1" s="1"/>
  <c r="AM51" i="1" s="1"/>
  <c r="AN99" i="1"/>
  <c r="AM119" i="1"/>
  <c r="CB112" i="1"/>
  <c r="CB113" i="1"/>
  <c r="CB69" i="1" s="1"/>
  <c r="CB114" i="1" l="1"/>
  <c r="AM12" i="1"/>
  <c r="AM13" i="1" s="1"/>
  <c r="AM52" i="1"/>
  <c r="AN95" i="1"/>
  <c r="AN98" i="1" s="1"/>
  <c r="AN108" i="1"/>
  <c r="AN111" i="1" s="1"/>
  <c r="CC113" i="1"/>
  <c r="CC69" i="1" s="1"/>
  <c r="CC112" i="1"/>
  <c r="AO110" i="1" l="1"/>
  <c r="AO68" i="1" s="1"/>
  <c r="AN101" i="1"/>
  <c r="AN118" i="1"/>
  <c r="AN23" i="1" s="1"/>
  <c r="CC114" i="1"/>
  <c r="CD113" i="1" l="1"/>
  <c r="CD69" i="1" s="1"/>
  <c r="CD112" i="1"/>
  <c r="AN24" i="1"/>
  <c r="AN47" i="1" s="1"/>
  <c r="AN51" i="1" s="1"/>
  <c r="AN119" i="1"/>
  <c r="AO99" i="1"/>
  <c r="AN12" i="1" l="1"/>
  <c r="AN13" i="1" s="1"/>
  <c r="AO108" i="1"/>
  <c r="AO111" i="1" s="1"/>
  <c r="AN52" i="1"/>
  <c r="AO95" i="1"/>
  <c r="AO98" i="1" s="1"/>
  <c r="CD114" i="1"/>
  <c r="CE113" i="1" l="1"/>
  <c r="CE69" i="1" s="1"/>
  <c r="CE112" i="1"/>
  <c r="AP110" i="1"/>
  <c r="AP68" i="1" s="1"/>
  <c r="AO101" i="1"/>
  <c r="AO118" i="1"/>
  <c r="AO23" i="1" s="1"/>
  <c r="CE114" i="1" l="1"/>
  <c r="CF113" i="1"/>
  <c r="CF112" i="1"/>
  <c r="AO24" i="1"/>
  <c r="AO47" i="1" s="1"/>
  <c r="AO51" i="1" s="1"/>
  <c r="AO119" i="1"/>
  <c r="AP99" i="1"/>
  <c r="CF69" i="1"/>
  <c r="CF114" i="1"/>
  <c r="AO12" i="1" l="1"/>
  <c r="AO13" i="1" s="1"/>
  <c r="AP95" i="1"/>
  <c r="AP98" i="1" s="1"/>
  <c r="AO52" i="1"/>
  <c r="AP108" i="1"/>
  <c r="AP111" i="1" s="1"/>
  <c r="CG113" i="1"/>
  <c r="CG69" i="1" s="1"/>
  <c r="CG112" i="1"/>
  <c r="AQ110" i="1" l="1"/>
  <c r="AQ68" i="1" s="1"/>
  <c r="AP101" i="1"/>
  <c r="AP118" i="1"/>
  <c r="AP23" i="1" s="1"/>
  <c r="CG114" i="1"/>
  <c r="CH112" i="1" l="1"/>
  <c r="CH113" i="1"/>
  <c r="CH69" i="1" s="1"/>
  <c r="AP24" i="1"/>
  <c r="AP47" i="1" s="1"/>
  <c r="AP51" i="1" s="1"/>
  <c r="AQ99" i="1"/>
  <c r="AP119" i="1"/>
  <c r="CH114" i="1"/>
  <c r="CI112" i="1" l="1"/>
  <c r="CI113" i="1"/>
  <c r="AP12" i="1"/>
  <c r="AP13" i="1" s="1"/>
  <c r="AQ108" i="1"/>
  <c r="AQ111" i="1" s="1"/>
  <c r="AP52" i="1"/>
  <c r="AQ95" i="1"/>
  <c r="AQ98" i="1" s="1"/>
  <c r="CI69" i="1"/>
  <c r="AR110" i="1" l="1"/>
  <c r="AR68" i="1" s="1"/>
  <c r="AQ101" i="1"/>
  <c r="AQ118" i="1"/>
  <c r="AQ23" i="1" s="1"/>
  <c r="CI114" i="1"/>
  <c r="CJ112" i="1" l="1"/>
  <c r="CJ113" i="1"/>
  <c r="CJ69" i="1" s="1"/>
  <c r="AQ24" i="1"/>
  <c r="AQ47" i="1" s="1"/>
  <c r="AQ51" i="1" s="1"/>
  <c r="AR99" i="1"/>
  <c r="AQ119" i="1"/>
  <c r="CJ114" i="1" l="1"/>
  <c r="AQ12" i="1"/>
  <c r="AQ13" i="1" s="1"/>
  <c r="AQ52" i="1"/>
  <c r="AR95" i="1"/>
  <c r="AR98" i="1" s="1"/>
  <c r="AR108" i="1"/>
  <c r="AR111" i="1" s="1"/>
  <c r="CK113" i="1"/>
  <c r="CK69" i="1" s="1"/>
  <c r="CK112" i="1"/>
  <c r="CK114" i="1" s="1"/>
  <c r="CL113" i="1" l="1"/>
  <c r="CL69" i="1" s="1"/>
  <c r="CL112" i="1"/>
  <c r="AS110" i="1"/>
  <c r="AS68" i="1" s="1"/>
  <c r="AR101" i="1"/>
  <c r="AR118" i="1"/>
  <c r="AR23" i="1" s="1"/>
  <c r="AR24" i="1" l="1"/>
  <c r="AR47" i="1" s="1"/>
  <c r="AR51" i="1" s="1"/>
  <c r="AS99" i="1"/>
  <c r="AR119" i="1"/>
  <c r="CL114" i="1"/>
  <c r="AR12" i="1" l="1"/>
  <c r="AR13" i="1" s="1"/>
  <c r="AS108" i="1"/>
  <c r="AS111" i="1" s="1"/>
  <c r="AR52" i="1"/>
  <c r="AS95" i="1"/>
  <c r="AS98" i="1" s="1"/>
  <c r="CM113" i="1"/>
  <c r="CM69" i="1" s="1"/>
  <c r="CM112" i="1"/>
  <c r="CM114" i="1" s="1"/>
  <c r="CN113" i="1" l="1"/>
  <c r="CN69" i="1" s="1"/>
  <c r="CN112" i="1"/>
  <c r="AT110" i="1"/>
  <c r="AT68" i="1" s="1"/>
  <c r="AS101" i="1"/>
  <c r="AS118" i="1"/>
  <c r="AS23" i="1" s="1"/>
  <c r="AT99" i="1" l="1"/>
  <c r="AS119" i="1"/>
  <c r="AS24" i="1"/>
  <c r="AS47" i="1" s="1"/>
  <c r="AS51" i="1" s="1"/>
  <c r="CN114" i="1"/>
  <c r="AS12" i="1" l="1"/>
  <c r="AS13" i="1" s="1"/>
  <c r="AT108" i="1"/>
  <c r="AT111" i="1" s="1"/>
  <c r="AT95" i="1"/>
  <c r="AT98" i="1" s="1"/>
  <c r="AS52" i="1"/>
  <c r="CO113" i="1"/>
  <c r="CO69" i="1" s="1"/>
  <c r="CO112" i="1"/>
  <c r="CO114" i="1" s="1"/>
  <c r="CP112" i="1" l="1"/>
  <c r="CP113" i="1"/>
  <c r="CP69" i="1" s="1"/>
  <c r="AT101" i="1"/>
  <c r="AT118" i="1"/>
  <c r="AT23" i="1" s="1"/>
  <c r="AU110" i="1"/>
  <c r="AU68" i="1" s="1"/>
  <c r="AT24" i="1" l="1"/>
  <c r="AT47" i="1" s="1"/>
  <c r="AT51" i="1" s="1"/>
  <c r="AT119" i="1"/>
  <c r="AU99" i="1"/>
  <c r="CP114" i="1"/>
  <c r="AT12" i="1" l="1"/>
  <c r="AT13" i="1" s="1"/>
  <c r="AU108" i="1"/>
  <c r="AU111" i="1" s="1"/>
  <c r="AT52" i="1"/>
  <c r="AU95" i="1"/>
  <c r="AU98" i="1" s="1"/>
  <c r="CQ112" i="1"/>
  <c r="CQ113" i="1"/>
  <c r="CQ69" i="1" s="1"/>
  <c r="AU101" i="1" l="1"/>
  <c r="AU118" i="1"/>
  <c r="AU23" i="1" s="1"/>
  <c r="CQ114" i="1"/>
  <c r="AV110" i="1"/>
  <c r="AV68" i="1" s="1"/>
  <c r="CR112" i="1" l="1"/>
  <c r="CR113" i="1"/>
  <c r="CR69" i="1" s="1"/>
  <c r="AU24" i="1"/>
  <c r="AU47" i="1" s="1"/>
  <c r="AU51" i="1" s="1"/>
  <c r="CR114" i="1"/>
  <c r="AV99" i="1"/>
  <c r="AU119" i="1"/>
  <c r="AU12" i="1" l="1"/>
  <c r="AU13" i="1" s="1"/>
  <c r="AV95" i="1"/>
  <c r="AV98" i="1" s="1"/>
  <c r="AV108" i="1"/>
  <c r="AV111" i="1" s="1"/>
  <c r="AU52" i="1"/>
  <c r="CS113" i="1"/>
  <c r="CS69" i="1" s="1"/>
  <c r="CS112" i="1"/>
  <c r="CS114" i="1" l="1"/>
  <c r="CT113" i="1" s="1"/>
  <c r="CT69" i="1" s="1"/>
  <c r="AW110" i="1"/>
  <c r="AW68" i="1" s="1"/>
  <c r="AV101" i="1"/>
  <c r="AV118" i="1"/>
  <c r="AV23" i="1" s="1"/>
  <c r="CT112" i="1" l="1"/>
  <c r="AV24" i="1"/>
  <c r="AV47" i="1" s="1"/>
  <c r="AV51" i="1" s="1"/>
  <c r="CT114" i="1"/>
  <c r="AW99" i="1"/>
  <c r="AV119" i="1"/>
  <c r="CU113" i="1" l="1"/>
  <c r="CU69" i="1" s="1"/>
  <c r="CU112" i="1"/>
  <c r="CU114" i="1" s="1"/>
  <c r="AV12" i="1"/>
  <c r="AV13" i="1" s="1"/>
  <c r="AW95" i="1"/>
  <c r="AW98" i="1" s="1"/>
  <c r="AW108" i="1"/>
  <c r="AW111" i="1" s="1"/>
  <c r="AV52" i="1"/>
  <c r="AX110" i="1" l="1"/>
  <c r="AX68" i="1" s="1"/>
  <c r="AW101" i="1"/>
  <c r="AW118" i="1"/>
  <c r="AW23" i="1" s="1"/>
  <c r="CV113" i="1"/>
  <c r="CV69" i="1" s="1"/>
  <c r="CV112" i="1"/>
  <c r="AW24" i="1" l="1"/>
  <c r="AW47" i="1" s="1"/>
  <c r="AW51" i="1" s="1"/>
  <c r="AX99" i="1"/>
  <c r="AW119" i="1"/>
  <c r="CV114" i="1"/>
  <c r="AW12" i="1" l="1"/>
  <c r="AW13" i="1" s="1"/>
  <c r="AX108" i="1"/>
  <c r="AX111" i="1" s="1"/>
  <c r="AW52" i="1"/>
  <c r="AX95" i="1"/>
  <c r="AX98" i="1" s="1"/>
  <c r="CW113" i="1"/>
  <c r="CW69" i="1" s="1"/>
  <c r="CW112" i="1"/>
  <c r="CW114" i="1" l="1"/>
  <c r="CX112" i="1" s="1"/>
  <c r="AX118" i="1"/>
  <c r="AX23" i="1" s="1"/>
  <c r="AX101" i="1"/>
  <c r="AY110" i="1"/>
  <c r="AY68" i="1" s="1"/>
  <c r="CX113" i="1" l="1"/>
  <c r="CX69" i="1" s="1"/>
  <c r="CX114" i="1"/>
  <c r="CY112" i="1" s="1"/>
  <c r="AX119" i="1"/>
  <c r="AY99" i="1"/>
  <c r="AX24" i="1"/>
  <c r="AX47" i="1" s="1"/>
  <c r="AX51" i="1" s="1"/>
  <c r="CY113" i="1" l="1"/>
  <c r="CY69" i="1" s="1"/>
  <c r="AX12" i="1"/>
  <c r="AX13" i="1" s="1"/>
  <c r="AX52" i="1"/>
  <c r="AY95" i="1"/>
  <c r="AY98" i="1" s="1"/>
  <c r="AY108" i="1"/>
  <c r="AY111" i="1" s="1"/>
  <c r="CY114" i="1" l="1"/>
  <c r="AY101" i="1"/>
  <c r="AY118" i="1"/>
  <c r="AY23" i="1" s="1"/>
  <c r="AZ110" i="1"/>
  <c r="AZ68" i="1" s="1"/>
  <c r="CZ113" i="1" l="1"/>
  <c r="CZ69" i="1" s="1"/>
  <c r="CZ112" i="1"/>
  <c r="CZ114" i="1" s="1"/>
  <c r="DA113" i="1" s="1"/>
  <c r="DA69" i="1" s="1"/>
  <c r="AY24" i="1"/>
  <c r="AY47" i="1" s="1"/>
  <c r="AY51" i="1" s="1"/>
  <c r="AZ99" i="1"/>
  <c r="AY119" i="1"/>
  <c r="DA114" i="1" l="1"/>
  <c r="DB113" i="1" s="1"/>
  <c r="DB69" i="1" s="1"/>
  <c r="AY12" i="1"/>
  <c r="AY13" i="1" s="1"/>
  <c r="AZ95" i="1"/>
  <c r="AZ98" i="1" s="1"/>
  <c r="AZ108" i="1"/>
  <c r="AZ111" i="1" s="1"/>
  <c r="AY52" i="1"/>
  <c r="DB114" i="1" l="1"/>
  <c r="AZ101" i="1"/>
  <c r="AZ118" i="1"/>
  <c r="AZ23" i="1" s="1"/>
  <c r="BA110" i="1"/>
  <c r="BA68" i="1" s="1"/>
  <c r="AZ24" i="1" l="1"/>
  <c r="AZ47" i="1" s="1"/>
  <c r="AZ51" i="1" s="1"/>
  <c r="AZ119" i="1"/>
  <c r="BA99" i="1"/>
  <c r="DC113" i="1"/>
  <c r="DC114" i="1" s="1"/>
  <c r="AZ12" i="1" l="1"/>
  <c r="AZ13" i="1" s="1"/>
  <c r="BA95" i="1"/>
  <c r="BA98" i="1" s="1"/>
  <c r="BA108" i="1"/>
  <c r="BA111" i="1" s="1"/>
  <c r="AZ52" i="1"/>
  <c r="DD113" i="1"/>
  <c r="DD69" i="1" s="1"/>
  <c r="DC69" i="1"/>
  <c r="DD114" i="1" l="1"/>
  <c r="BB110" i="1"/>
  <c r="BB68" i="1" s="1"/>
  <c r="BA101" i="1"/>
  <c r="BA118" i="1"/>
  <c r="BA23" i="1" s="1"/>
  <c r="BA24" i="1" l="1"/>
  <c r="BA47" i="1" s="1"/>
  <c r="BA51" i="1" s="1"/>
  <c r="BA119" i="1"/>
  <c r="BB99" i="1"/>
  <c r="DE113" i="1"/>
  <c r="DE69" i="1" s="1"/>
  <c r="BA12" i="1" l="1"/>
  <c r="BA13" i="1" s="1"/>
  <c r="BA52" i="1"/>
  <c r="BB108" i="1"/>
  <c r="BB111" i="1" s="1"/>
  <c r="BB95" i="1"/>
  <c r="BB98" i="1" s="1"/>
  <c r="DE114" i="1"/>
  <c r="DF113" i="1" l="1"/>
  <c r="DF69" i="1" s="1"/>
  <c r="DF114" i="1"/>
  <c r="BC110" i="1"/>
  <c r="BC68" i="1" s="1"/>
  <c r="BB101" i="1"/>
  <c r="BB118" i="1"/>
  <c r="BB23" i="1" s="1"/>
  <c r="BB24" i="1" l="1"/>
  <c r="BB47" i="1" s="1"/>
  <c r="BB51" i="1" s="1"/>
  <c r="DG113" i="1"/>
  <c r="DG69" i="1" s="1"/>
  <c r="BC99" i="1"/>
  <c r="BB119" i="1"/>
  <c r="BB12" i="1" l="1"/>
  <c r="BB13" i="1" s="1"/>
  <c r="BC95" i="1"/>
  <c r="BC98" i="1" s="1"/>
  <c r="BC108" i="1"/>
  <c r="BC111" i="1" s="1"/>
  <c r="BB52" i="1"/>
  <c r="DG114" i="1"/>
  <c r="DH113" i="1" l="1"/>
  <c r="DH69" i="1" s="1"/>
  <c r="BD110" i="1"/>
  <c r="BD68" i="1" s="1"/>
  <c r="BC101" i="1"/>
  <c r="BC118" i="1"/>
  <c r="BC23" i="1" s="1"/>
  <c r="DH114" i="1" l="1"/>
  <c r="BC24" i="1"/>
  <c r="BC47" i="1" s="1"/>
  <c r="BC51" i="1" s="1"/>
  <c r="DI113" i="1"/>
  <c r="DI69" i="1" s="1"/>
  <c r="BD99" i="1"/>
  <c r="BC119" i="1"/>
  <c r="BC12" i="1" l="1"/>
  <c r="BC13" i="1" s="1"/>
  <c r="BD95" i="1"/>
  <c r="BD98" i="1" s="1"/>
  <c r="BD108" i="1"/>
  <c r="BD111" i="1" s="1"/>
  <c r="BC52" i="1"/>
  <c r="DI114" i="1"/>
  <c r="BE110" i="1" l="1"/>
  <c r="BE68" i="1" s="1"/>
  <c r="DJ113" i="1"/>
  <c r="DJ69" i="1" s="1"/>
  <c r="BD118" i="1"/>
  <c r="BD23" i="1" s="1"/>
  <c r="BD101" i="1"/>
  <c r="DJ114" i="1" l="1"/>
  <c r="DK113" i="1"/>
  <c r="DK69" i="1" s="1"/>
  <c r="DK114" i="1"/>
  <c r="BD24" i="1"/>
  <c r="BD47" i="1" s="1"/>
  <c r="BD51" i="1" s="1"/>
  <c r="BE99" i="1"/>
  <c r="BD119" i="1"/>
  <c r="BD12" i="1" l="1"/>
  <c r="BD13" i="1" s="1"/>
  <c r="BE108" i="1"/>
  <c r="BE111" i="1" s="1"/>
  <c r="BE95" i="1"/>
  <c r="BE98" i="1" s="1"/>
  <c r="BD52" i="1"/>
  <c r="DL113" i="1"/>
  <c r="DL114" i="1" s="1"/>
  <c r="DM113" i="1" l="1"/>
  <c r="DM69" i="1" s="1"/>
  <c r="DL69" i="1"/>
  <c r="BE118" i="1"/>
  <c r="BE23" i="1" s="1"/>
  <c r="BE101" i="1"/>
  <c r="BF110" i="1"/>
  <c r="BF68" i="1" s="1"/>
  <c r="DM114" i="1" l="1"/>
  <c r="DN113" i="1" s="1"/>
  <c r="DN69" i="1" s="1"/>
  <c r="BE24" i="1"/>
  <c r="BE47" i="1" s="1"/>
  <c r="BE51" i="1" s="1"/>
  <c r="BE119" i="1"/>
  <c r="BF99" i="1"/>
  <c r="BE12" i="1" l="1"/>
  <c r="BE13" i="1" s="1"/>
  <c r="BF108" i="1"/>
  <c r="BF111" i="1" s="1"/>
  <c r="BE52" i="1"/>
  <c r="BF95" i="1"/>
  <c r="BF98" i="1" s="1"/>
  <c r="DN114" i="1"/>
  <c r="BF118" i="1" l="1"/>
  <c r="BF23" i="1" s="1"/>
  <c r="BF101" i="1"/>
  <c r="DO113" i="1"/>
  <c r="DO69" i="1" s="1"/>
  <c r="BG110" i="1"/>
  <c r="BG68" i="1" s="1"/>
  <c r="DO114" i="1" l="1"/>
  <c r="BG99" i="1"/>
  <c r="BF119" i="1"/>
  <c r="BF24" i="1"/>
  <c r="BF47" i="1" s="1"/>
  <c r="BF51" i="1" s="1"/>
  <c r="BF12" i="1" l="1"/>
  <c r="BF13" i="1" s="1"/>
  <c r="BG108" i="1"/>
  <c r="BG111" i="1" s="1"/>
  <c r="BF52" i="1"/>
  <c r="BG95" i="1"/>
  <c r="BG98" i="1" s="1"/>
  <c r="DP113" i="1"/>
  <c r="DP69" i="1" s="1"/>
  <c r="BG101" i="1" l="1"/>
  <c r="BG118" i="1"/>
  <c r="BG23" i="1" s="1"/>
  <c r="BH110" i="1"/>
  <c r="BH68" i="1" s="1"/>
  <c r="DP114" i="1"/>
  <c r="DQ113" i="1" l="1"/>
  <c r="DQ69" i="1" s="1"/>
  <c r="BG24" i="1"/>
  <c r="BG47" i="1" s="1"/>
  <c r="BG51" i="1" s="1"/>
  <c r="BG119" i="1"/>
  <c r="BH99" i="1"/>
  <c r="DQ114" i="1" l="1"/>
  <c r="BG12" i="1"/>
  <c r="BG13" i="1" s="1"/>
  <c r="BG52" i="1"/>
  <c r="BH95" i="1"/>
  <c r="BH98" i="1" s="1"/>
  <c r="BH108" i="1"/>
  <c r="BH111" i="1" s="1"/>
  <c r="DR113" i="1"/>
  <c r="DR69" i="1" s="1"/>
  <c r="DR114" i="1" l="1"/>
  <c r="BI110" i="1"/>
  <c r="BI68" i="1" s="1"/>
  <c r="DS113" i="1"/>
  <c r="DS69" i="1" s="1"/>
  <c r="BH118" i="1"/>
  <c r="BH23" i="1" s="1"/>
  <c r="BH101" i="1"/>
  <c r="DS114" i="1" l="1"/>
  <c r="BI99" i="1"/>
  <c r="BH119" i="1"/>
  <c r="BH24" i="1"/>
  <c r="BH47" i="1" s="1"/>
  <c r="BH51" i="1" s="1"/>
  <c r="BH12" i="1" l="1"/>
  <c r="BH13" i="1" s="1"/>
  <c r="BI108" i="1"/>
  <c r="BI111" i="1" s="1"/>
  <c r="BI95" i="1"/>
  <c r="BI98" i="1" s="1"/>
  <c r="BH52" i="1"/>
  <c r="DT113" i="1"/>
  <c r="DT69" i="1" s="1"/>
  <c r="DT114" i="1" l="1"/>
  <c r="DU113" i="1"/>
  <c r="DU69" i="1" s="1"/>
  <c r="BI101" i="1"/>
  <c r="BI118" i="1"/>
  <c r="BI23" i="1" s="1"/>
  <c r="BJ110" i="1"/>
  <c r="BJ68" i="1" s="1"/>
  <c r="DU114" i="1" l="1"/>
  <c r="BJ99" i="1"/>
  <c r="BI119" i="1"/>
  <c r="DV113" i="1"/>
  <c r="DV69" i="1" s="1"/>
  <c r="BI24" i="1"/>
  <c r="BI47" i="1" s="1"/>
  <c r="BI51" i="1" s="1"/>
  <c r="BI12" i="1" l="1"/>
  <c r="BI13" i="1" s="1"/>
  <c r="BI52" i="1"/>
  <c r="BJ108" i="1"/>
  <c r="BJ111" i="1" s="1"/>
  <c r="BJ95" i="1"/>
  <c r="BJ98" i="1" s="1"/>
  <c r="DV114" i="1"/>
  <c r="BK110" i="1" l="1"/>
  <c r="BK68" i="1" s="1"/>
  <c r="BJ118" i="1"/>
  <c r="BJ23" i="1" s="1"/>
  <c r="BJ101" i="1"/>
  <c r="DW113" i="1"/>
  <c r="DW69" i="1" s="1"/>
  <c r="DW114" i="1" l="1"/>
  <c r="BJ119" i="1"/>
  <c r="BK99" i="1"/>
  <c r="BJ24" i="1"/>
  <c r="BJ47" i="1" s="1"/>
  <c r="BJ51" i="1" s="1"/>
  <c r="BJ12" i="1" l="1"/>
  <c r="BJ13" i="1" s="1"/>
  <c r="BK108" i="1"/>
  <c r="BK111" i="1" s="1"/>
  <c r="BJ52" i="1"/>
  <c r="BK95" i="1"/>
  <c r="BK98" i="1" s="1"/>
  <c r="DX113" i="1"/>
  <c r="DX69" i="1" s="1"/>
  <c r="DX114" i="1" l="1"/>
  <c r="BK101" i="1"/>
  <c r="BK118" i="1"/>
  <c r="BK23" i="1" s="1"/>
  <c r="BL110" i="1"/>
  <c r="BL68" i="1" s="1"/>
  <c r="BK24" i="1" l="1"/>
  <c r="BK47" i="1" s="1"/>
  <c r="BK51" i="1" s="1"/>
  <c r="BK119" i="1"/>
  <c r="BL99" i="1"/>
  <c r="DY113" i="1"/>
  <c r="DY69" i="1" s="1"/>
  <c r="BK12" i="1" l="1"/>
  <c r="BK13" i="1" s="1"/>
  <c r="BL95" i="1"/>
  <c r="BL98" i="1" s="1"/>
  <c r="BL108" i="1"/>
  <c r="BL111" i="1" s="1"/>
  <c r="BK52" i="1"/>
  <c r="DY114" i="1"/>
  <c r="DZ113" i="1" l="1"/>
  <c r="DZ69" i="1" s="1"/>
  <c r="BM110" i="1"/>
  <c r="BM68" i="1" s="1"/>
  <c r="BL118" i="1"/>
  <c r="BL23" i="1" s="1"/>
  <c r="BL101" i="1"/>
  <c r="DZ114" i="1" l="1"/>
  <c r="BL24" i="1"/>
  <c r="BL47" i="1" s="1"/>
  <c r="BL51" i="1" s="1"/>
  <c r="EA113" i="1"/>
  <c r="EA69" i="1" s="1"/>
  <c r="BL119" i="1"/>
  <c r="BM99" i="1"/>
  <c r="BL12" i="1" l="1"/>
  <c r="BL13" i="1" s="1"/>
  <c r="BL52" i="1"/>
  <c r="BM95" i="1"/>
  <c r="BM98" i="1" s="1"/>
  <c r="BM108" i="1"/>
  <c r="BM111" i="1" s="1"/>
  <c r="EA114" i="1"/>
  <c r="BN110" i="1" l="1"/>
  <c r="BN68" i="1" s="1"/>
  <c r="EB113" i="1"/>
  <c r="EB69" i="1" s="1"/>
  <c r="EB114" i="1"/>
  <c r="EC113" i="1" s="1"/>
  <c r="EC69" i="1" s="1"/>
  <c r="BM101" i="1"/>
  <c r="BM118" i="1"/>
  <c r="BM23" i="1" s="1"/>
  <c r="BM24" i="1" l="1"/>
  <c r="BM47" i="1" s="1"/>
  <c r="BM51" i="1" s="1"/>
  <c r="BM119" i="1"/>
  <c r="BN99" i="1"/>
  <c r="EC114" i="1"/>
  <c r="ED113" i="1" s="1"/>
  <c r="ED69" i="1" s="1"/>
  <c r="BM12" i="1" l="1"/>
  <c r="BM13" i="1" s="1"/>
  <c r="BN108" i="1"/>
  <c r="BN111" i="1" s="1"/>
  <c r="BN95" i="1"/>
  <c r="BN98" i="1" s="1"/>
  <c r="BM52" i="1"/>
  <c r="ED114" i="1"/>
  <c r="EE113" i="1" s="1"/>
  <c r="BN101" i="1" l="1"/>
  <c r="BN118" i="1"/>
  <c r="BN23" i="1" s="1"/>
  <c r="BO110" i="1"/>
  <c r="BO68" i="1" s="1"/>
  <c r="EE69" i="1"/>
  <c r="BN24" i="1" l="1"/>
  <c r="BN47" i="1" s="1"/>
  <c r="BN51" i="1" s="1"/>
  <c r="BN119" i="1"/>
  <c r="BO99" i="1"/>
  <c r="EE114" i="1"/>
  <c r="EF113" i="1" s="1"/>
  <c r="BN12" i="1" l="1"/>
  <c r="BN13" i="1" s="1"/>
  <c r="BN52" i="1"/>
  <c r="BO95" i="1"/>
  <c r="BO98" i="1" s="1"/>
  <c r="BO108" i="1"/>
  <c r="BO111" i="1" s="1"/>
  <c r="EF69" i="1"/>
  <c r="BO101" i="1" l="1"/>
  <c r="BO118" i="1"/>
  <c r="BO23" i="1" s="1"/>
  <c r="BP110" i="1"/>
  <c r="BP68" i="1" s="1"/>
  <c r="EF114" i="1"/>
  <c r="EG113" i="1" s="1"/>
  <c r="BO24" i="1" l="1"/>
  <c r="BO47" i="1" s="1"/>
  <c r="BO51" i="1" s="1"/>
  <c r="BO119" i="1"/>
  <c r="BP99" i="1"/>
  <c r="EG69" i="1"/>
  <c r="BO12" i="1" l="1"/>
  <c r="BO13" i="1" s="1"/>
  <c r="BP95" i="1"/>
  <c r="BP98" i="1" s="1"/>
  <c r="BP108" i="1"/>
  <c r="BP111" i="1" s="1"/>
  <c r="BO52" i="1"/>
  <c r="EG114" i="1"/>
  <c r="EH113" i="1" s="1"/>
  <c r="BQ110" i="1" l="1"/>
  <c r="BQ68" i="1" s="1"/>
  <c r="BP118" i="1"/>
  <c r="BP23" i="1" s="1"/>
  <c r="BP101" i="1"/>
  <c r="EH69" i="1"/>
  <c r="BP24" i="1" l="1"/>
  <c r="BP47" i="1" s="1"/>
  <c r="BP51" i="1" s="1"/>
  <c r="BP119" i="1"/>
  <c r="BQ99" i="1"/>
  <c r="EH114" i="1"/>
  <c r="EI113" i="1" s="1"/>
  <c r="BP12" i="1" l="1"/>
  <c r="BP13" i="1" s="1"/>
  <c r="BQ108" i="1"/>
  <c r="BQ111" i="1" s="1"/>
  <c r="BQ95" i="1"/>
  <c r="BQ98" i="1" s="1"/>
  <c r="BP52" i="1"/>
  <c r="EI69" i="1"/>
  <c r="BQ101" i="1" l="1"/>
  <c r="BQ118" i="1"/>
  <c r="BQ23" i="1" s="1"/>
  <c r="BR110" i="1"/>
  <c r="BR68" i="1" s="1"/>
  <c r="EI114" i="1"/>
  <c r="EJ113" i="1" s="1"/>
  <c r="BQ24" i="1" l="1"/>
  <c r="BQ47" i="1" s="1"/>
  <c r="BQ51" i="1" s="1"/>
  <c r="BR99" i="1"/>
  <c r="BQ119" i="1"/>
  <c r="EJ69" i="1"/>
  <c r="BQ12" i="1" l="1"/>
  <c r="BQ13" i="1" s="1"/>
  <c r="BR95" i="1"/>
  <c r="BR98" i="1" s="1"/>
  <c r="BQ52" i="1"/>
  <c r="BR108" i="1"/>
  <c r="BR111" i="1" s="1"/>
  <c r="EJ114" i="1"/>
  <c r="EK113" i="1" s="1"/>
  <c r="BS110" i="1" l="1"/>
  <c r="BS68" i="1" s="1"/>
  <c r="BR101" i="1"/>
  <c r="BR118" i="1"/>
  <c r="BR23" i="1" s="1"/>
  <c r="EK69" i="1"/>
  <c r="BR24" i="1" l="1"/>
  <c r="BR47" i="1" s="1"/>
  <c r="BR51" i="1" s="1"/>
  <c r="BS99" i="1"/>
  <c r="BR119" i="1"/>
  <c r="EK114" i="1"/>
  <c r="BR12" i="1" l="1"/>
  <c r="BR13" i="1" s="1"/>
  <c r="BS108" i="1"/>
  <c r="BS111" i="1" s="1"/>
  <c r="BS95" i="1"/>
  <c r="BS98" i="1" s="1"/>
  <c r="BR52" i="1"/>
  <c r="EL113" i="1"/>
  <c r="EL114" i="1" s="1"/>
  <c r="EL69" i="1" l="1"/>
  <c r="D78" i="1" s="1"/>
  <c r="BS101" i="1"/>
  <c r="BS118" i="1"/>
  <c r="BS23" i="1" s="1"/>
  <c r="BT110" i="1"/>
  <c r="BT68" i="1" s="1"/>
  <c r="BS24" i="1" l="1"/>
  <c r="BS47" i="1" s="1"/>
  <c r="BS51" i="1" s="1"/>
  <c r="BT99" i="1"/>
  <c r="BS119" i="1"/>
  <c r="I78" i="1"/>
  <c r="D74" i="1"/>
  <c r="I74" i="1" s="1"/>
  <c r="BS12" i="1" l="1"/>
  <c r="BS13" i="1" s="1"/>
  <c r="BT95" i="1"/>
  <c r="BT98" i="1" s="1"/>
  <c r="BS52" i="1"/>
  <c r="BT108" i="1"/>
  <c r="BT111" i="1" s="1"/>
  <c r="BU110" i="1" l="1"/>
  <c r="BU68" i="1" s="1"/>
  <c r="BT101" i="1"/>
  <c r="BT118" i="1"/>
  <c r="BT23" i="1" s="1"/>
  <c r="BU99" i="1" l="1"/>
  <c r="BT119" i="1"/>
  <c r="BT24" i="1"/>
  <c r="BT47" i="1" s="1"/>
  <c r="BT51" i="1" s="1"/>
  <c r="BT12" i="1" l="1"/>
  <c r="BT13" i="1" s="1"/>
  <c r="BU108" i="1"/>
  <c r="BU111" i="1" s="1"/>
  <c r="BU95" i="1"/>
  <c r="BU98" i="1" s="1"/>
  <c r="BT52" i="1"/>
  <c r="BU101" i="1" l="1"/>
  <c r="BU118" i="1"/>
  <c r="BU23" i="1" s="1"/>
  <c r="BV110" i="1"/>
  <c r="BV68" i="1" s="1"/>
  <c r="BU24" i="1" l="1"/>
  <c r="BU47" i="1" s="1"/>
  <c r="BU51" i="1" s="1"/>
  <c r="BV99" i="1"/>
  <c r="BU119" i="1"/>
  <c r="BU12" i="1" l="1"/>
  <c r="BU13" i="1" s="1"/>
  <c r="BV108" i="1"/>
  <c r="BV111" i="1" s="1"/>
  <c r="BU52" i="1"/>
  <c r="BV95" i="1"/>
  <c r="BV98" i="1" s="1"/>
  <c r="BV101" i="1" l="1"/>
  <c r="BV118" i="1"/>
  <c r="BV23" i="1" s="1"/>
  <c r="BW110" i="1"/>
  <c r="BW68" i="1" s="1"/>
  <c r="BV24" i="1" l="1"/>
  <c r="BV47" i="1" s="1"/>
  <c r="BV51" i="1" s="1"/>
  <c r="BW99" i="1"/>
  <c r="BV119" i="1"/>
  <c r="BV12" i="1" l="1"/>
  <c r="BV13" i="1" s="1"/>
  <c r="BV52" i="1"/>
  <c r="BW95" i="1"/>
  <c r="BW98" i="1" s="1"/>
  <c r="BW108" i="1"/>
  <c r="BW111" i="1" s="1"/>
  <c r="BX110" i="1" l="1"/>
  <c r="BX68" i="1" s="1"/>
  <c r="BW101" i="1"/>
  <c r="BW118" i="1"/>
  <c r="BW23" i="1" s="1"/>
  <c r="BW24" i="1" l="1"/>
  <c r="BW47" i="1" s="1"/>
  <c r="BW51" i="1" s="1"/>
  <c r="BX99" i="1"/>
  <c r="BW119" i="1"/>
  <c r="BW12" i="1" l="1"/>
  <c r="BW13" i="1" s="1"/>
  <c r="BX108" i="1"/>
  <c r="BX111" i="1" s="1"/>
  <c r="BW52" i="1"/>
  <c r="BX95" i="1"/>
  <c r="BX98" i="1" s="1"/>
  <c r="BX101" i="1" l="1"/>
  <c r="BX118" i="1"/>
  <c r="BX23" i="1" s="1"/>
  <c r="BY110" i="1"/>
  <c r="BY68" i="1" s="1"/>
  <c r="BX119" i="1" l="1"/>
  <c r="BY99" i="1"/>
  <c r="BX24" i="1"/>
  <c r="BX47" i="1" s="1"/>
  <c r="BX51" i="1" s="1"/>
  <c r="BX12" i="1" l="1"/>
  <c r="BX13" i="1" s="1"/>
  <c r="BY95" i="1"/>
  <c r="BY98" i="1" s="1"/>
  <c r="BX52" i="1"/>
  <c r="BY108" i="1"/>
  <c r="BY111" i="1" s="1"/>
  <c r="BZ110" i="1" l="1"/>
  <c r="BZ68" i="1" s="1"/>
  <c r="BY101" i="1"/>
  <c r="BY118" i="1"/>
  <c r="BY23" i="1" s="1"/>
  <c r="BY24" i="1" l="1"/>
  <c r="BY47" i="1" s="1"/>
  <c r="BY51" i="1" s="1"/>
  <c r="BZ99" i="1"/>
  <c r="BY119" i="1"/>
  <c r="BY12" i="1" l="1"/>
  <c r="BY13" i="1" s="1"/>
  <c r="BZ108" i="1"/>
  <c r="BZ111" i="1" s="1"/>
  <c r="BY52" i="1"/>
  <c r="BZ95" i="1"/>
  <c r="BZ98" i="1" s="1"/>
  <c r="CA110" i="1" l="1"/>
  <c r="CA68" i="1" s="1"/>
  <c r="BZ118" i="1"/>
  <c r="BZ23" i="1" s="1"/>
  <c r="BZ101" i="1"/>
  <c r="BZ119" i="1" l="1"/>
  <c r="CA99" i="1"/>
  <c r="BZ24" i="1"/>
  <c r="BZ47" i="1" s="1"/>
  <c r="BZ51" i="1" s="1"/>
  <c r="BZ12" i="1" l="1"/>
  <c r="BZ13" i="1" s="1"/>
  <c r="CA108" i="1"/>
  <c r="CA111" i="1" s="1"/>
  <c r="CA95" i="1"/>
  <c r="CA98" i="1" s="1"/>
  <c r="BZ52" i="1"/>
  <c r="CA101" i="1" l="1"/>
  <c r="CA118" i="1"/>
  <c r="CA23" i="1" s="1"/>
  <c r="CB110" i="1"/>
  <c r="CB68" i="1" s="1"/>
  <c r="CA119" i="1" l="1"/>
  <c r="CB99" i="1"/>
  <c r="CA24" i="1"/>
  <c r="CA47" i="1" s="1"/>
  <c r="CA51" i="1" s="1"/>
  <c r="CA12" i="1" l="1"/>
  <c r="CA13" i="1" s="1"/>
  <c r="CB95" i="1"/>
  <c r="CB98" i="1" s="1"/>
  <c r="CA52" i="1"/>
  <c r="CB108" i="1"/>
  <c r="CB111" i="1" s="1"/>
  <c r="CC110" i="1" l="1"/>
  <c r="CC68" i="1" s="1"/>
  <c r="CB101" i="1"/>
  <c r="CB118" i="1"/>
  <c r="CB23" i="1" s="1"/>
  <c r="CB24" i="1" l="1"/>
  <c r="CB47" i="1" s="1"/>
  <c r="CB51" i="1" s="1"/>
  <c r="CC99" i="1"/>
  <c r="CB119" i="1"/>
  <c r="CB12" i="1" l="1"/>
  <c r="CB13" i="1" s="1"/>
  <c r="CC108" i="1"/>
  <c r="CC111" i="1" s="1"/>
  <c r="CB52" i="1"/>
  <c r="CC95" i="1"/>
  <c r="CC98" i="1" s="1"/>
  <c r="CC118" i="1" l="1"/>
  <c r="CC23" i="1" s="1"/>
  <c r="CC101" i="1"/>
  <c r="CD110" i="1"/>
  <c r="CD68" i="1" s="1"/>
  <c r="CC119" i="1" l="1"/>
  <c r="CD99" i="1"/>
  <c r="CC24" i="1"/>
  <c r="CC47" i="1" s="1"/>
  <c r="CC51" i="1" s="1"/>
  <c r="CC12" i="1" l="1"/>
  <c r="CC13" i="1" s="1"/>
  <c r="CC52" i="1"/>
  <c r="CD95" i="1"/>
  <c r="CD98" i="1" s="1"/>
  <c r="CD108" i="1"/>
  <c r="CD111" i="1" s="1"/>
  <c r="CE110" i="1" l="1"/>
  <c r="CE68" i="1" s="1"/>
  <c r="CD101" i="1"/>
  <c r="CD118" i="1"/>
  <c r="CD23" i="1" s="1"/>
  <c r="CD24" i="1" l="1"/>
  <c r="CD47" i="1" s="1"/>
  <c r="CD51" i="1" s="1"/>
  <c r="CE99" i="1"/>
  <c r="CD119" i="1"/>
  <c r="CD12" i="1" l="1"/>
  <c r="CD13" i="1" s="1"/>
  <c r="CE108" i="1"/>
  <c r="CE111" i="1" s="1"/>
  <c r="CD52" i="1"/>
  <c r="CE95" i="1"/>
  <c r="CE98" i="1" s="1"/>
  <c r="CF110" i="1" l="1"/>
  <c r="CF68" i="1" s="1"/>
  <c r="CE101" i="1"/>
  <c r="CE118" i="1"/>
  <c r="CE23" i="1" s="1"/>
  <c r="CE24" i="1" l="1"/>
  <c r="CE47" i="1" s="1"/>
  <c r="CE51" i="1" s="1"/>
  <c r="CE119" i="1"/>
  <c r="CF99" i="1"/>
  <c r="CE12" i="1" l="1"/>
  <c r="CE13" i="1" s="1"/>
  <c r="CE52" i="1"/>
  <c r="CF95" i="1"/>
  <c r="CF98" i="1" s="1"/>
  <c r="CF108" i="1"/>
  <c r="CF111" i="1" s="1"/>
  <c r="CF101" i="1" l="1"/>
  <c r="CF118" i="1"/>
  <c r="CF23" i="1" s="1"/>
  <c r="CG110" i="1"/>
  <c r="CG68" i="1" s="1"/>
  <c r="CF24" i="1" l="1"/>
  <c r="CF47" i="1" s="1"/>
  <c r="CF51" i="1" s="1"/>
  <c r="CG99" i="1"/>
  <c r="CF119" i="1"/>
  <c r="CF12" i="1" l="1"/>
  <c r="CF13" i="1" s="1"/>
  <c r="CG95" i="1"/>
  <c r="CG98" i="1" s="1"/>
  <c r="CG108" i="1"/>
  <c r="CG111" i="1" s="1"/>
  <c r="CF52" i="1"/>
  <c r="CH110" i="1" l="1"/>
  <c r="CH68" i="1" s="1"/>
  <c r="CG101" i="1"/>
  <c r="CG118" i="1"/>
  <c r="CG23" i="1" s="1"/>
  <c r="CG24" i="1" l="1"/>
  <c r="CG47" i="1" s="1"/>
  <c r="CG51" i="1" s="1"/>
  <c r="CG119" i="1"/>
  <c r="CH99" i="1"/>
  <c r="CG12" i="1" l="1"/>
  <c r="CG13" i="1" s="1"/>
  <c r="CG52" i="1"/>
  <c r="CH108" i="1"/>
  <c r="CH111" i="1" s="1"/>
  <c r="CH95" i="1"/>
  <c r="CH98" i="1" s="1"/>
  <c r="CI110" i="1" l="1"/>
  <c r="CI68" i="1" s="1"/>
  <c r="CH101" i="1"/>
  <c r="CH118" i="1"/>
  <c r="CH23" i="1" s="1"/>
  <c r="CH24" i="1" l="1"/>
  <c r="CH47" i="1" s="1"/>
  <c r="CH51" i="1" s="1"/>
  <c r="CI99" i="1"/>
  <c r="CH119" i="1"/>
  <c r="CH12" i="1" l="1"/>
  <c r="CH13" i="1" s="1"/>
  <c r="CI108" i="1"/>
  <c r="CI111" i="1" s="1"/>
  <c r="CI95" i="1"/>
  <c r="CI98" i="1" s="1"/>
  <c r="CH52" i="1"/>
  <c r="CI101" i="1" l="1"/>
  <c r="CI118" i="1"/>
  <c r="CI23" i="1" s="1"/>
  <c r="CJ110" i="1"/>
  <c r="CJ68" i="1" s="1"/>
  <c r="CI24" i="1" l="1"/>
  <c r="CI47" i="1" s="1"/>
  <c r="CI51" i="1" s="1"/>
  <c r="CI119" i="1"/>
  <c r="CJ99" i="1"/>
  <c r="CI12" i="1" l="1"/>
  <c r="CI13" i="1" s="1"/>
  <c r="CI52" i="1"/>
  <c r="CJ95" i="1"/>
  <c r="CJ98" i="1" s="1"/>
  <c r="CJ108" i="1"/>
  <c r="CJ111" i="1" s="1"/>
  <c r="CK110" i="1" l="1"/>
  <c r="CK68" i="1" s="1"/>
  <c r="CJ101" i="1"/>
  <c r="CJ118" i="1"/>
  <c r="CJ23" i="1" s="1"/>
  <c r="CK99" i="1" l="1"/>
  <c r="CJ119" i="1"/>
  <c r="CJ24" i="1"/>
  <c r="CJ47" i="1" s="1"/>
  <c r="CJ51" i="1" s="1"/>
  <c r="CJ12" i="1" l="1"/>
  <c r="CJ13" i="1" s="1"/>
  <c r="CK108" i="1"/>
  <c r="CK111" i="1" s="1"/>
  <c r="CK95" i="1"/>
  <c r="CK98" i="1" s="1"/>
  <c r="CJ52" i="1"/>
  <c r="CK118" i="1" l="1"/>
  <c r="CK23" i="1" s="1"/>
  <c r="CK101" i="1"/>
  <c r="CL110" i="1"/>
  <c r="CL68" i="1" s="1"/>
  <c r="CL99" i="1" l="1"/>
  <c r="CK119" i="1"/>
  <c r="CK24" i="1"/>
  <c r="CK47" i="1" s="1"/>
  <c r="CK51" i="1" s="1"/>
  <c r="CK12" i="1" l="1"/>
  <c r="CK13" i="1" s="1"/>
  <c r="CL95" i="1"/>
  <c r="CL98" i="1" s="1"/>
  <c r="CK52" i="1"/>
  <c r="CL108" i="1"/>
  <c r="CL111" i="1" s="1"/>
  <c r="CM110" i="1" l="1"/>
  <c r="CM68" i="1" s="1"/>
  <c r="CL101" i="1"/>
  <c r="CL118" i="1"/>
  <c r="CL23" i="1" s="1"/>
  <c r="CL24" i="1" l="1"/>
  <c r="CL47" i="1" s="1"/>
  <c r="CL51" i="1" s="1"/>
  <c r="CM99" i="1"/>
  <c r="CL119" i="1"/>
  <c r="CL12" i="1" l="1"/>
  <c r="CL13" i="1" s="1"/>
  <c r="CL52" i="1"/>
  <c r="CM108" i="1"/>
  <c r="CM111" i="1" s="1"/>
  <c r="CM95" i="1"/>
  <c r="CM98" i="1" s="1"/>
  <c r="CM101" i="1" l="1"/>
  <c r="CM118" i="1"/>
  <c r="CM23" i="1" s="1"/>
  <c r="CN110" i="1"/>
  <c r="CN68" i="1" s="1"/>
  <c r="CM24" i="1" l="1"/>
  <c r="CM47" i="1" s="1"/>
  <c r="CM51" i="1" s="1"/>
  <c r="CM119" i="1"/>
  <c r="CN99" i="1"/>
  <c r="CM12" i="1" l="1"/>
  <c r="CM13" i="1" s="1"/>
  <c r="CN108" i="1"/>
  <c r="CN111" i="1" s="1"/>
  <c r="CM52" i="1"/>
  <c r="CN95" i="1"/>
  <c r="CN98" i="1" s="1"/>
  <c r="CN101" i="1" l="1"/>
  <c r="CN118" i="1"/>
  <c r="CN23" i="1" s="1"/>
  <c r="CO110" i="1"/>
  <c r="CO68" i="1" s="1"/>
  <c r="CN24" i="1" l="1"/>
  <c r="CN47" i="1" s="1"/>
  <c r="CN51" i="1" s="1"/>
  <c r="CO99" i="1"/>
  <c r="CN119" i="1"/>
  <c r="CN12" i="1" l="1"/>
  <c r="CN13" i="1" s="1"/>
  <c r="CN52" i="1"/>
  <c r="CO95" i="1"/>
  <c r="CO98" i="1" s="1"/>
  <c r="CO108" i="1"/>
  <c r="CO111" i="1" s="1"/>
  <c r="CP110" i="1" l="1"/>
  <c r="CP68" i="1" s="1"/>
  <c r="CO101" i="1"/>
  <c r="CO118" i="1"/>
  <c r="CO23" i="1" s="1"/>
  <c r="CP99" i="1" l="1"/>
  <c r="CO119" i="1"/>
  <c r="CO24" i="1"/>
  <c r="CO47" i="1" s="1"/>
  <c r="CO51" i="1" s="1"/>
  <c r="CO12" i="1" l="1"/>
  <c r="CO13" i="1" s="1"/>
  <c r="CP108" i="1"/>
  <c r="CP111" i="1" s="1"/>
  <c r="CP95" i="1"/>
  <c r="CP98" i="1" s="1"/>
  <c r="CO52" i="1"/>
  <c r="CQ110" i="1" l="1"/>
  <c r="CQ68" i="1" s="1"/>
  <c r="CP101" i="1"/>
  <c r="CP118" i="1"/>
  <c r="CP23" i="1" s="1"/>
  <c r="CP24" i="1" l="1"/>
  <c r="CP47" i="1" s="1"/>
  <c r="CP51" i="1" s="1"/>
  <c r="CP119" i="1"/>
  <c r="CQ99" i="1"/>
  <c r="CP12" i="1" l="1"/>
  <c r="CP13" i="1" s="1"/>
  <c r="CP52" i="1"/>
  <c r="CQ108" i="1"/>
  <c r="CQ111" i="1" s="1"/>
  <c r="CQ95" i="1"/>
  <c r="CQ98" i="1" s="1"/>
  <c r="CQ101" i="1" l="1"/>
  <c r="CQ118" i="1"/>
  <c r="CQ23" i="1" s="1"/>
  <c r="CR110" i="1"/>
  <c r="CR68" i="1" s="1"/>
  <c r="CQ24" i="1" l="1"/>
  <c r="CQ47" i="1" s="1"/>
  <c r="CQ51" i="1" s="1"/>
  <c r="CR99" i="1"/>
  <c r="CQ119" i="1"/>
  <c r="CQ12" i="1" l="1"/>
  <c r="CQ13" i="1" s="1"/>
  <c r="CR95" i="1"/>
  <c r="CR98" i="1" s="1"/>
  <c r="CQ52" i="1"/>
  <c r="CR108" i="1"/>
  <c r="CR111" i="1" s="1"/>
  <c r="CS110" i="1" l="1"/>
  <c r="CS68" i="1" s="1"/>
  <c r="CR101" i="1"/>
  <c r="CR118" i="1"/>
  <c r="CR23" i="1" s="1"/>
  <c r="CS99" i="1" l="1"/>
  <c r="CR119" i="1"/>
  <c r="CR24" i="1"/>
  <c r="CR47" i="1" s="1"/>
  <c r="CR51" i="1" s="1"/>
  <c r="CR12" i="1" l="1"/>
  <c r="CR13" i="1" s="1"/>
  <c r="CS108" i="1"/>
  <c r="CS111" i="1" s="1"/>
  <c r="CS95" i="1"/>
  <c r="CS98" i="1" s="1"/>
  <c r="CR52" i="1"/>
  <c r="CS118" i="1" l="1"/>
  <c r="CS23" i="1" s="1"/>
  <c r="CS101" i="1"/>
  <c r="CT110" i="1"/>
  <c r="CT68" i="1" s="1"/>
  <c r="CT99" i="1" l="1"/>
  <c r="CS119" i="1"/>
  <c r="CS24" i="1"/>
  <c r="CS47" i="1" s="1"/>
  <c r="CS51" i="1" s="1"/>
  <c r="CS12" i="1" l="1"/>
  <c r="CS13" i="1" s="1"/>
  <c r="CS52" i="1"/>
  <c r="CT95" i="1"/>
  <c r="CT98" i="1" s="1"/>
  <c r="CT108" i="1"/>
  <c r="CT111" i="1" s="1"/>
  <c r="CT101" i="1" l="1"/>
  <c r="CT118" i="1"/>
  <c r="CT23" i="1" s="1"/>
  <c r="CU110" i="1"/>
  <c r="CU68" i="1" s="1"/>
  <c r="CT24" i="1" l="1"/>
  <c r="CT47" i="1" s="1"/>
  <c r="CT51" i="1" s="1"/>
  <c r="CU99" i="1"/>
  <c r="CT119" i="1"/>
  <c r="CT12" i="1" l="1"/>
  <c r="CT13" i="1" s="1"/>
  <c r="CU95" i="1"/>
  <c r="CU98" i="1" s="1"/>
  <c r="CU108" i="1"/>
  <c r="CU111" i="1" s="1"/>
  <c r="CT52" i="1"/>
  <c r="CV110" i="1" l="1"/>
  <c r="CV68" i="1" s="1"/>
  <c r="CU101" i="1"/>
  <c r="CU118" i="1"/>
  <c r="CU23" i="1" s="1"/>
  <c r="CV99" i="1" l="1"/>
  <c r="CU119" i="1"/>
  <c r="CU24" i="1"/>
  <c r="CU47" i="1" s="1"/>
  <c r="CU51" i="1" s="1"/>
  <c r="CU12" i="1" l="1"/>
  <c r="CU13" i="1" s="1"/>
  <c r="CV108" i="1"/>
  <c r="CV111" i="1" s="1"/>
  <c r="CV95" i="1"/>
  <c r="CV98" i="1" s="1"/>
  <c r="CU52" i="1"/>
  <c r="CV118" i="1" l="1"/>
  <c r="CV23" i="1" s="1"/>
  <c r="CV101" i="1"/>
  <c r="CW110" i="1"/>
  <c r="CW68" i="1" s="1"/>
  <c r="CV119" i="1" l="1"/>
  <c r="CW99" i="1"/>
  <c r="CV24" i="1"/>
  <c r="CV47" i="1" s="1"/>
  <c r="CV51" i="1" s="1"/>
  <c r="CV12" i="1" l="1"/>
  <c r="CV13" i="1" s="1"/>
  <c r="CV52" i="1"/>
  <c r="CW95" i="1"/>
  <c r="CW98" i="1" s="1"/>
  <c r="CW108" i="1"/>
  <c r="CW111" i="1" s="1"/>
  <c r="CW118" i="1" l="1"/>
  <c r="CW23" i="1" s="1"/>
  <c r="CW101" i="1"/>
  <c r="CX110" i="1"/>
  <c r="CX68" i="1" s="1"/>
  <c r="CX99" i="1" l="1"/>
  <c r="CW119" i="1"/>
  <c r="CW24" i="1"/>
  <c r="CW47" i="1" s="1"/>
  <c r="CW51" i="1" s="1"/>
  <c r="CW12" i="1" l="1"/>
  <c r="CW13" i="1" s="1"/>
  <c r="CX95" i="1"/>
  <c r="CX98" i="1" s="1"/>
  <c r="CX108" i="1"/>
  <c r="CX111" i="1" s="1"/>
  <c r="CW52" i="1"/>
  <c r="CY110" i="1" l="1"/>
  <c r="CY68" i="1" s="1"/>
  <c r="CX101" i="1"/>
  <c r="CX118" i="1"/>
  <c r="CX23" i="1" s="1"/>
  <c r="CX24" i="1" l="1"/>
  <c r="CX47" i="1" s="1"/>
  <c r="CX51" i="1" s="1"/>
  <c r="CX119" i="1"/>
  <c r="CY99" i="1"/>
  <c r="CX12" i="1" l="1"/>
  <c r="CX13" i="1" s="1"/>
  <c r="CX52" i="1"/>
  <c r="CY108" i="1"/>
  <c r="CY111" i="1" s="1"/>
  <c r="CY95" i="1"/>
  <c r="CY98" i="1" s="1"/>
  <c r="CY101" i="1" l="1"/>
  <c r="CY118" i="1"/>
  <c r="CY23" i="1" s="1"/>
  <c r="CZ110" i="1"/>
  <c r="CZ68" i="1" s="1"/>
  <c r="CY24" i="1" l="1"/>
  <c r="CY47" i="1" s="1"/>
  <c r="CY51" i="1" s="1"/>
  <c r="CY119" i="1"/>
  <c r="CZ99" i="1"/>
  <c r="CY12" i="1" l="1"/>
  <c r="CY13" i="1" s="1"/>
  <c r="CZ108" i="1"/>
  <c r="CZ111" i="1" s="1"/>
  <c r="CZ95" i="1"/>
  <c r="CZ98" i="1" s="1"/>
  <c r="CY52" i="1"/>
  <c r="CZ101" i="1" l="1"/>
  <c r="CZ118" i="1"/>
  <c r="CZ23" i="1" s="1"/>
  <c r="DA110" i="1"/>
  <c r="DA68" i="1" s="1"/>
  <c r="DA111" i="1" l="1"/>
  <c r="CZ24" i="1"/>
  <c r="CZ47" i="1" s="1"/>
  <c r="CZ51" i="1" s="1"/>
  <c r="DA99" i="1"/>
  <c r="CZ119" i="1"/>
  <c r="CZ12" i="1" l="1"/>
  <c r="CZ13" i="1" s="1"/>
  <c r="DA95" i="1"/>
  <c r="DA98" i="1" s="1"/>
  <c r="CZ52" i="1"/>
  <c r="DB110" i="1"/>
  <c r="DB68" i="1" s="1"/>
  <c r="DB111" i="1" l="1"/>
  <c r="DA101" i="1"/>
  <c r="DA118" i="1"/>
  <c r="DA23" i="1" s="1"/>
  <c r="DA24" i="1" l="1"/>
  <c r="DA47" i="1" s="1"/>
  <c r="DA51" i="1" s="1"/>
  <c r="DB99" i="1"/>
  <c r="DA119" i="1"/>
  <c r="DC110" i="1"/>
  <c r="DC68" i="1" s="1"/>
  <c r="DA12" i="1" l="1"/>
  <c r="DA13" i="1" s="1"/>
  <c r="DA52" i="1"/>
  <c r="DB95" i="1"/>
  <c r="DB98" i="1" s="1"/>
  <c r="DC111" i="1"/>
  <c r="DD110" i="1" l="1"/>
  <c r="DD68" i="1" s="1"/>
  <c r="DB101" i="1"/>
  <c r="DB118" i="1"/>
  <c r="DB23" i="1" s="1"/>
  <c r="DB24" i="1" l="1"/>
  <c r="DB47" i="1" s="1"/>
  <c r="DB51" i="1" s="1"/>
  <c r="DD111" i="1"/>
  <c r="DC99" i="1"/>
  <c r="DB119" i="1"/>
  <c r="DB12" i="1" l="1"/>
  <c r="DB13" i="1" s="1"/>
  <c r="DC95" i="1"/>
  <c r="DC98" i="1" s="1"/>
  <c r="DB52" i="1"/>
  <c r="DE110" i="1"/>
  <c r="DE68" i="1" s="1"/>
  <c r="DE111" i="1" l="1"/>
  <c r="DC118" i="1"/>
  <c r="DC23" i="1" s="1"/>
  <c r="DC101" i="1"/>
  <c r="DD99" i="1" l="1"/>
  <c r="DC119" i="1"/>
  <c r="DC24" i="1"/>
  <c r="DC47" i="1" s="1"/>
  <c r="DC51" i="1" s="1"/>
  <c r="DF110" i="1"/>
  <c r="DF68" i="1" s="1"/>
  <c r="DC12" i="1" l="1"/>
  <c r="DC13" i="1" s="1"/>
  <c r="DC52" i="1"/>
  <c r="DD95" i="1"/>
  <c r="DD98" i="1" s="1"/>
  <c r="DF111" i="1"/>
  <c r="DG110" i="1" l="1"/>
  <c r="DG68" i="1" s="1"/>
  <c r="DD101" i="1"/>
  <c r="DD118" i="1"/>
  <c r="DD23" i="1" s="1"/>
  <c r="DG111" i="1" l="1"/>
  <c r="DH110" i="1" s="1"/>
  <c r="DH68" i="1" s="1"/>
  <c r="DD24" i="1"/>
  <c r="DD47" i="1" s="1"/>
  <c r="DD51" i="1" s="1"/>
  <c r="DD119" i="1"/>
  <c r="DE99" i="1"/>
  <c r="DD12" i="1" l="1"/>
  <c r="DD13" i="1" s="1"/>
  <c r="DD52" i="1"/>
  <c r="DE95" i="1"/>
  <c r="DE98" i="1" s="1"/>
  <c r="DH111" i="1"/>
  <c r="DI110" i="1" l="1"/>
  <c r="DI68" i="1" s="1"/>
  <c r="DE101" i="1"/>
  <c r="DE118" i="1"/>
  <c r="DE23" i="1" s="1"/>
  <c r="DE119" i="1" l="1"/>
  <c r="DF99" i="1"/>
  <c r="DI111" i="1"/>
  <c r="DE24" i="1"/>
  <c r="DE47" i="1" s="1"/>
  <c r="DE51" i="1" s="1"/>
  <c r="DE12" i="1" l="1"/>
  <c r="DE13" i="1" s="1"/>
  <c r="DF95" i="1"/>
  <c r="DF98" i="1" s="1"/>
  <c r="DE52" i="1"/>
  <c r="DJ110" i="1"/>
  <c r="DJ111" i="1" s="1"/>
  <c r="DK110" i="1" l="1"/>
  <c r="DK68" i="1" s="1"/>
  <c r="DJ68" i="1"/>
  <c r="DF101" i="1"/>
  <c r="DF118" i="1"/>
  <c r="DF23" i="1" s="1"/>
  <c r="DF24" i="1" l="1"/>
  <c r="DF47" i="1" s="1"/>
  <c r="DF51" i="1" s="1"/>
  <c r="DK111" i="1"/>
  <c r="DG99" i="1"/>
  <c r="DF119" i="1"/>
  <c r="DF12" i="1" l="1"/>
  <c r="DF13" i="1" s="1"/>
  <c r="DG95" i="1"/>
  <c r="DG98" i="1" s="1"/>
  <c r="DF52" i="1"/>
  <c r="DL110" i="1"/>
  <c r="DL68" i="1" s="1"/>
  <c r="DL111" i="1" l="1"/>
  <c r="DG101" i="1"/>
  <c r="DG118" i="1"/>
  <c r="DG23" i="1" s="1"/>
  <c r="DG24" i="1" l="1"/>
  <c r="DG47" i="1" s="1"/>
  <c r="DG51" i="1" s="1"/>
  <c r="DH99" i="1"/>
  <c r="DG119" i="1"/>
  <c r="DM110" i="1"/>
  <c r="DM68" i="1" s="1"/>
  <c r="DG12" i="1" l="1"/>
  <c r="DG13" i="1" s="1"/>
  <c r="DG52" i="1"/>
  <c r="DH95" i="1"/>
  <c r="DH98" i="1" s="1"/>
  <c r="DM111" i="1"/>
  <c r="DH101" i="1" l="1"/>
  <c r="DH118" i="1"/>
  <c r="DH23" i="1" s="1"/>
  <c r="DN110" i="1"/>
  <c r="DN68" i="1" s="1"/>
  <c r="DN111" i="1" l="1"/>
  <c r="DH24" i="1"/>
  <c r="DH47" i="1" s="1"/>
  <c r="DH51" i="1" s="1"/>
  <c r="DH119" i="1"/>
  <c r="DI99" i="1"/>
  <c r="DH12" i="1" l="1"/>
  <c r="DH13" i="1" s="1"/>
  <c r="DI95" i="1"/>
  <c r="DI98" i="1" s="1"/>
  <c r="DH52" i="1"/>
  <c r="DO110" i="1"/>
  <c r="DO68" i="1" s="1"/>
  <c r="DO111" i="1" l="1"/>
  <c r="DI101" i="1"/>
  <c r="DI118" i="1"/>
  <c r="DI23" i="1" s="1"/>
  <c r="DI24" i="1" l="1"/>
  <c r="DI47" i="1" s="1"/>
  <c r="DI51" i="1" s="1"/>
  <c r="DJ99" i="1"/>
  <c r="DI119" i="1"/>
  <c r="DP110" i="1"/>
  <c r="DP68" i="1" s="1"/>
  <c r="DI12" i="1" l="1"/>
  <c r="DI13" i="1" s="1"/>
  <c r="DI52" i="1"/>
  <c r="DJ95" i="1"/>
  <c r="DJ98" i="1" s="1"/>
  <c r="DP111" i="1"/>
  <c r="DQ110" i="1" l="1"/>
  <c r="DQ68" i="1" s="1"/>
  <c r="DJ101" i="1"/>
  <c r="DJ118" i="1"/>
  <c r="DJ23" i="1" s="1"/>
  <c r="DQ111" i="1" l="1"/>
  <c r="DJ24" i="1"/>
  <c r="DJ47" i="1" s="1"/>
  <c r="DJ51" i="1" s="1"/>
  <c r="DR110" i="1"/>
  <c r="DR68" i="1" s="1"/>
  <c r="DK99" i="1"/>
  <c r="DJ119" i="1"/>
  <c r="DR111" i="1" l="1"/>
  <c r="DJ12" i="1"/>
  <c r="DJ13" i="1" s="1"/>
  <c r="DK95" i="1"/>
  <c r="DK98" i="1" s="1"/>
  <c r="DJ52" i="1"/>
  <c r="DS110" i="1"/>
  <c r="DS68" i="1" s="1"/>
  <c r="DS111" i="1" l="1"/>
  <c r="DK118" i="1"/>
  <c r="DK23" i="1" s="1"/>
  <c r="DK101" i="1"/>
  <c r="DK24" i="1" l="1"/>
  <c r="DK47" i="1" s="1"/>
  <c r="DK51" i="1" s="1"/>
  <c r="DL99" i="1"/>
  <c r="DK119" i="1"/>
  <c r="DT110" i="1"/>
  <c r="DT111" i="1" s="1"/>
  <c r="DU110" i="1" l="1"/>
  <c r="DU68" i="1" s="1"/>
  <c r="DK12" i="1"/>
  <c r="DK13" i="1" s="1"/>
  <c r="DL95" i="1"/>
  <c r="DL98" i="1" s="1"/>
  <c r="DK52" i="1"/>
  <c r="DT68" i="1"/>
  <c r="DL101" i="1" l="1"/>
  <c r="DL118" i="1"/>
  <c r="DL23" i="1" s="1"/>
  <c r="DU111" i="1"/>
  <c r="DV110" i="1" l="1"/>
  <c r="DV68" i="1" s="1"/>
  <c r="DL24" i="1"/>
  <c r="DL47" i="1" s="1"/>
  <c r="DL51" i="1" s="1"/>
  <c r="DM99" i="1"/>
  <c r="DL119" i="1"/>
  <c r="DL12" i="1" l="1"/>
  <c r="DL13" i="1" s="1"/>
  <c r="DM95" i="1"/>
  <c r="DM98" i="1" s="1"/>
  <c r="DL52" i="1"/>
  <c r="DV111" i="1"/>
  <c r="DW110" i="1" l="1"/>
  <c r="DW68" i="1" s="1"/>
  <c r="DM101" i="1"/>
  <c r="DM118" i="1"/>
  <c r="DM23" i="1" s="1"/>
  <c r="DN99" i="1" l="1"/>
  <c r="DM119" i="1"/>
  <c r="DW111" i="1"/>
  <c r="DM24" i="1"/>
  <c r="DM47" i="1" s="1"/>
  <c r="DM51" i="1" s="1"/>
  <c r="DM12" i="1" l="1"/>
  <c r="DM13" i="1" s="1"/>
  <c r="DM52" i="1"/>
  <c r="DN95" i="1"/>
  <c r="DN98" i="1" s="1"/>
  <c r="DX110" i="1"/>
  <c r="DX68" i="1" s="1"/>
  <c r="DX111" i="1" l="1"/>
  <c r="DY110" i="1"/>
  <c r="DY68" i="1" s="1"/>
  <c r="DN101" i="1"/>
  <c r="DN118" i="1"/>
  <c r="DN23" i="1" s="1"/>
  <c r="DY111" i="1" l="1"/>
  <c r="DZ110" i="1" s="1"/>
  <c r="DZ68" i="1" s="1"/>
  <c r="DN24" i="1"/>
  <c r="DN47" i="1" s="1"/>
  <c r="DN51" i="1" s="1"/>
  <c r="DN119" i="1"/>
  <c r="DO99" i="1"/>
  <c r="DN12" i="1" l="1"/>
  <c r="DN13" i="1" s="1"/>
  <c r="DO95" i="1"/>
  <c r="DO98" i="1" s="1"/>
  <c r="DN52" i="1"/>
  <c r="DZ111" i="1"/>
  <c r="EA110" i="1" l="1"/>
  <c r="EA68" i="1" s="1"/>
  <c r="DO101" i="1"/>
  <c r="DO118" i="1"/>
  <c r="DO23" i="1" s="1"/>
  <c r="EA111" i="1" l="1"/>
  <c r="DO24" i="1"/>
  <c r="DO47" i="1" s="1"/>
  <c r="DO51" i="1" s="1"/>
  <c r="DP99" i="1"/>
  <c r="DO119" i="1"/>
  <c r="EB110" i="1"/>
  <c r="EB68" i="1" s="1"/>
  <c r="DO12" i="1" l="1"/>
  <c r="DO13" i="1" s="1"/>
  <c r="DO52" i="1"/>
  <c r="DP95" i="1"/>
  <c r="DP98" i="1" s="1"/>
  <c r="EB111" i="1"/>
  <c r="DP118" i="1" l="1"/>
  <c r="DP23" i="1" s="1"/>
  <c r="DP101" i="1"/>
  <c r="EC110" i="1"/>
  <c r="EC68" i="1" s="1"/>
  <c r="DQ99" i="1" l="1"/>
  <c r="DP119" i="1"/>
  <c r="EC111" i="1"/>
  <c r="DP24" i="1"/>
  <c r="DP47" i="1" s="1"/>
  <c r="DP51" i="1" s="1"/>
  <c r="DP12" i="1" l="1"/>
  <c r="DP13" i="1" s="1"/>
  <c r="DQ95" i="1"/>
  <c r="DQ98" i="1" s="1"/>
  <c r="DP52" i="1"/>
  <c r="ED110" i="1"/>
  <c r="ED68" i="1" s="1"/>
  <c r="DQ101" i="1" l="1"/>
  <c r="DQ118" i="1"/>
  <c r="DQ23" i="1" s="1"/>
  <c r="ED111" i="1"/>
  <c r="DQ24" i="1" l="1"/>
  <c r="DQ47" i="1" s="1"/>
  <c r="DQ51" i="1" s="1"/>
  <c r="EE110" i="1"/>
  <c r="EE68" i="1" s="1"/>
  <c r="DR99" i="1"/>
  <c r="DQ119" i="1"/>
  <c r="DQ12" i="1" l="1"/>
  <c r="DQ13" i="1" s="1"/>
  <c r="DR95" i="1"/>
  <c r="DR98" i="1" s="1"/>
  <c r="DQ52" i="1"/>
  <c r="EE111" i="1"/>
  <c r="EF110" i="1" l="1"/>
  <c r="EF68" i="1" s="1"/>
  <c r="DR118" i="1"/>
  <c r="DR23" i="1" s="1"/>
  <c r="DR101" i="1"/>
  <c r="EF111" i="1" l="1"/>
  <c r="EG110" i="1" s="1"/>
  <c r="EG68" i="1" s="1"/>
  <c r="DS99" i="1"/>
  <c r="DR119" i="1"/>
  <c r="DR24" i="1"/>
  <c r="DR47" i="1" s="1"/>
  <c r="DR51" i="1" s="1"/>
  <c r="DR12" i="1" l="1"/>
  <c r="DR13" i="1" s="1"/>
  <c r="DS95" i="1"/>
  <c r="DS98" i="1" s="1"/>
  <c r="DR52" i="1"/>
  <c r="EG111" i="1"/>
  <c r="EH110" i="1" l="1"/>
  <c r="EH68" i="1" s="1"/>
  <c r="DS118" i="1"/>
  <c r="DS23" i="1" s="1"/>
  <c r="DS101" i="1"/>
  <c r="DS119" i="1" l="1"/>
  <c r="DT99" i="1"/>
  <c r="EH111" i="1"/>
  <c r="DS24" i="1"/>
  <c r="DS47" i="1" s="1"/>
  <c r="DS51" i="1" s="1"/>
  <c r="DS12" i="1" l="1"/>
  <c r="DS13" i="1" s="1"/>
  <c r="DS52" i="1"/>
  <c r="DT95" i="1"/>
  <c r="DT98" i="1" s="1"/>
  <c r="EI110" i="1"/>
  <c r="EI68" i="1" s="1"/>
  <c r="EI111" i="1" l="1"/>
  <c r="DT118" i="1"/>
  <c r="DT23" i="1" s="1"/>
  <c r="DT101" i="1"/>
  <c r="DU99" i="1" l="1"/>
  <c r="DT119" i="1"/>
  <c r="DT24" i="1"/>
  <c r="DT47" i="1" s="1"/>
  <c r="DT51" i="1" s="1"/>
  <c r="EJ110" i="1"/>
  <c r="EJ68" i="1" s="1"/>
  <c r="EJ111" i="1" l="1"/>
  <c r="DT12" i="1"/>
  <c r="DT13" i="1" s="1"/>
  <c r="DU95" i="1"/>
  <c r="DU98" i="1" s="1"/>
  <c r="DT52" i="1"/>
  <c r="EK110" i="1"/>
  <c r="EK68" i="1" s="1"/>
  <c r="EK111" i="1" l="1"/>
  <c r="DU101" i="1"/>
  <c r="DU118" i="1"/>
  <c r="DU23" i="1" s="1"/>
  <c r="DU24" i="1" l="1"/>
  <c r="DU47" i="1" s="1"/>
  <c r="DU51" i="1" s="1"/>
  <c r="DU119" i="1"/>
  <c r="DV99" i="1"/>
  <c r="EL110" i="1"/>
  <c r="EL68" i="1" s="1"/>
  <c r="DU12" i="1" l="1"/>
  <c r="DU13" i="1" s="1"/>
  <c r="DU52" i="1"/>
  <c r="DV95" i="1"/>
  <c r="DV98" i="1" s="1"/>
  <c r="EL111" i="1"/>
  <c r="DV101" i="1" l="1"/>
  <c r="DV118" i="1"/>
  <c r="DV23" i="1" s="1"/>
  <c r="DV24" i="1" l="1"/>
  <c r="DV47" i="1" s="1"/>
  <c r="DV51" i="1" s="1"/>
  <c r="DW99" i="1"/>
  <c r="DV119" i="1"/>
  <c r="DV12" i="1" l="1"/>
  <c r="DV13" i="1" s="1"/>
  <c r="DW95" i="1"/>
  <c r="DW98" i="1" s="1"/>
  <c r="DV52" i="1"/>
  <c r="DW101" i="1" l="1"/>
  <c r="DW118" i="1"/>
  <c r="DW23" i="1" s="1"/>
  <c r="DW24" i="1" l="1"/>
  <c r="DW47" i="1" s="1"/>
  <c r="DW51" i="1" s="1"/>
  <c r="DX99" i="1"/>
  <c r="DW119" i="1"/>
  <c r="DW12" i="1" l="1"/>
  <c r="DW13" i="1" s="1"/>
  <c r="DW52" i="1"/>
  <c r="DX95" i="1"/>
  <c r="DX98" i="1" s="1"/>
  <c r="DX101" i="1" l="1"/>
  <c r="DX118" i="1"/>
  <c r="DX23" i="1" s="1"/>
  <c r="DX24" i="1" l="1"/>
  <c r="DX47" i="1" s="1"/>
  <c r="DX51" i="1" s="1"/>
  <c r="DY99" i="1"/>
  <c r="DX119" i="1"/>
  <c r="DX12" i="1" l="1"/>
  <c r="DX13" i="1" s="1"/>
  <c r="DX52" i="1"/>
  <c r="DY95" i="1"/>
  <c r="DY98" i="1" s="1"/>
  <c r="DY101" i="1" l="1"/>
  <c r="DY118" i="1"/>
  <c r="DY23" i="1" s="1"/>
  <c r="DY24" i="1" l="1"/>
  <c r="DY47" i="1" s="1"/>
  <c r="DY51" i="1" s="1"/>
  <c r="DZ99" i="1"/>
  <c r="DY119" i="1"/>
  <c r="DY12" i="1" l="1"/>
  <c r="DY13" i="1" s="1"/>
  <c r="DZ95" i="1"/>
  <c r="DZ98" i="1" s="1"/>
  <c r="DY52" i="1"/>
  <c r="DZ101" i="1" l="1"/>
  <c r="DZ118" i="1"/>
  <c r="DZ23" i="1" s="1"/>
  <c r="DZ24" i="1" l="1"/>
  <c r="DZ47" i="1" s="1"/>
  <c r="DZ51" i="1" s="1"/>
  <c r="EA99" i="1"/>
  <c r="DZ119" i="1"/>
  <c r="DZ12" i="1" l="1"/>
  <c r="DZ13" i="1" s="1"/>
  <c r="DZ52" i="1"/>
  <c r="EA95" i="1"/>
  <c r="EA98" i="1" s="1"/>
  <c r="EA101" i="1" l="1"/>
  <c r="EA118" i="1"/>
  <c r="EA23" i="1" s="1"/>
  <c r="EA24" i="1" l="1"/>
  <c r="EA47" i="1" s="1"/>
  <c r="EA51" i="1" s="1"/>
  <c r="EB99" i="1"/>
  <c r="EA119" i="1"/>
  <c r="EA12" i="1" l="1"/>
  <c r="EA13" i="1" s="1"/>
  <c r="EB95" i="1"/>
  <c r="EB98" i="1" s="1"/>
  <c r="EA52" i="1"/>
  <c r="EB101" i="1" l="1"/>
  <c r="EB118" i="1"/>
  <c r="EB23" i="1" s="1"/>
  <c r="EB24" i="1" l="1"/>
  <c r="EB47" i="1" s="1"/>
  <c r="EB51" i="1" s="1"/>
  <c r="EC99" i="1"/>
  <c r="EB119" i="1"/>
  <c r="EB12" i="1" l="1"/>
  <c r="EB13" i="1" s="1"/>
  <c r="EB52" i="1"/>
  <c r="EC95" i="1"/>
  <c r="EC98" i="1" s="1"/>
  <c r="EC101" i="1" l="1"/>
  <c r="EC118" i="1"/>
  <c r="EC23" i="1" s="1"/>
  <c r="EC24" i="1" l="1"/>
  <c r="EC47" i="1" s="1"/>
  <c r="EC51" i="1" s="1"/>
  <c r="EC119" i="1"/>
  <c r="ED99" i="1"/>
  <c r="EC12" i="1" l="1"/>
  <c r="EC13" i="1" s="1"/>
  <c r="ED95" i="1"/>
  <c r="ED98" i="1" s="1"/>
  <c r="EC52" i="1"/>
  <c r="ED101" i="1" l="1"/>
  <c r="ED118" i="1"/>
  <c r="ED23" i="1" s="1"/>
  <c r="ED24" i="1" l="1"/>
  <c r="ED47" i="1" s="1"/>
  <c r="ED51" i="1" s="1"/>
  <c r="EE99" i="1"/>
  <c r="ED119" i="1"/>
  <c r="ED12" i="1" l="1"/>
  <c r="ED13" i="1" s="1"/>
  <c r="ED52" i="1"/>
  <c r="EE95" i="1"/>
  <c r="EE98" i="1" s="1"/>
  <c r="EE101" i="1" l="1"/>
  <c r="EE118" i="1"/>
  <c r="EE23" i="1" s="1"/>
  <c r="EE24" i="1" l="1"/>
  <c r="EE47" i="1" s="1"/>
  <c r="EE51" i="1" s="1"/>
  <c r="EF99" i="1"/>
  <c r="EE119" i="1"/>
  <c r="EE12" i="1" l="1"/>
  <c r="EE13" i="1" s="1"/>
  <c r="EF95" i="1"/>
  <c r="EF98" i="1" s="1"/>
  <c r="EE52" i="1"/>
  <c r="EF101" i="1" l="1"/>
  <c r="EF118" i="1"/>
  <c r="EF23" i="1" s="1"/>
  <c r="EF24" i="1" l="1"/>
  <c r="EF47" i="1" s="1"/>
  <c r="EF51" i="1" s="1"/>
  <c r="EG99" i="1"/>
  <c r="EF119" i="1"/>
  <c r="EF12" i="1" l="1"/>
  <c r="EF13" i="1" s="1"/>
  <c r="EF52" i="1"/>
  <c r="EG95" i="1"/>
  <c r="EG98" i="1" s="1"/>
  <c r="EG101" i="1" l="1"/>
  <c r="EG118" i="1"/>
  <c r="EG23" i="1" s="1"/>
  <c r="EG24" i="1" l="1"/>
  <c r="EG47" i="1" s="1"/>
  <c r="EG51" i="1" s="1"/>
  <c r="EH99" i="1"/>
  <c r="EG119" i="1"/>
  <c r="EG12" i="1" l="1"/>
  <c r="EG13" i="1" s="1"/>
  <c r="EG52" i="1"/>
  <c r="EH95" i="1"/>
  <c r="EH98" i="1" s="1"/>
  <c r="EH101" i="1" l="1"/>
  <c r="EH118" i="1"/>
  <c r="EH23" i="1" s="1"/>
  <c r="EH24" i="1" l="1"/>
  <c r="EH47" i="1" s="1"/>
  <c r="EH51" i="1" s="1"/>
  <c r="EI99" i="1"/>
  <c r="EH119" i="1"/>
  <c r="EH12" i="1" l="1"/>
  <c r="EH13" i="1" s="1"/>
  <c r="EI95" i="1"/>
  <c r="EI98" i="1" s="1"/>
  <c r="EH52" i="1"/>
  <c r="EI101" i="1" l="1"/>
  <c r="EI118" i="1"/>
  <c r="EI23" i="1" s="1"/>
  <c r="EI24" i="1" l="1"/>
  <c r="EI47" i="1" s="1"/>
  <c r="EI51" i="1" s="1"/>
  <c r="EJ99" i="1"/>
  <c r="EI119" i="1"/>
  <c r="EI12" i="1" l="1"/>
  <c r="EI13" i="1" s="1"/>
  <c r="EI52" i="1"/>
  <c r="EJ95" i="1"/>
  <c r="EJ98" i="1" s="1"/>
  <c r="EJ118" i="1" l="1"/>
  <c r="EJ23" i="1" s="1"/>
  <c r="EJ101" i="1"/>
  <c r="EJ119" i="1" l="1"/>
  <c r="EK99" i="1"/>
  <c r="EJ24" i="1"/>
  <c r="EJ47" i="1" s="1"/>
  <c r="EJ51" i="1" s="1"/>
  <c r="EJ12" i="1" l="1"/>
  <c r="EJ13" i="1" s="1"/>
  <c r="EJ52" i="1"/>
  <c r="EK95" i="1"/>
  <c r="EK98" i="1" s="1"/>
  <c r="EK118" i="1" l="1"/>
  <c r="EK23" i="1" s="1"/>
  <c r="EK101" i="1"/>
  <c r="EL99" i="1" l="1"/>
  <c r="EK119" i="1"/>
  <c r="EK24" i="1"/>
  <c r="EK47" i="1" s="1"/>
  <c r="EK51" i="1" s="1"/>
  <c r="EK12" i="1" l="1"/>
  <c r="EK13" i="1" s="1"/>
  <c r="EL95" i="1"/>
  <c r="EL98" i="1" s="1"/>
  <c r="EK52" i="1"/>
  <c r="EL101" i="1" l="1"/>
  <c r="EL119" i="1" s="1"/>
  <c r="EL118" i="1"/>
  <c r="EL23" i="1" s="1"/>
  <c r="EL24" i="1" l="1"/>
  <c r="EL47" i="1" s="1"/>
  <c r="EL51" i="1" s="1"/>
  <c r="EL12" i="1" l="1"/>
  <c r="EL13" i="1" s="1"/>
  <c r="EL52" i="1"/>
  <c r="C76" i="1" l="1"/>
  <c r="H76" i="1" s="1"/>
  <c r="C77" i="1"/>
  <c r="H77" i="1" s="1"/>
  <c r="C78" i="1"/>
  <c r="H78" i="1" s="1"/>
  <c r="C75" i="1"/>
  <c r="C74" i="1" l="1"/>
  <c r="C79" i="1"/>
  <c r="E84" i="1" s="1"/>
  <c r="H75" i="1"/>
  <c r="E83" i="1" l="1"/>
  <c r="H74" i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data in this row needed to be projected year by year</t>
        </r>
      </text>
    </comment>
    <comment ref="C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formula is different from 
i = 1-3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謝福臻</author>
  </authors>
  <commentList>
    <comment ref="B2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謝福臻:</t>
        </r>
        <r>
          <rPr>
            <sz val="9"/>
            <color indexed="81"/>
            <rFont val="Tahoma"/>
            <family val="2"/>
          </rPr>
          <t xml:space="preserve">
Its blank</t>
        </r>
      </text>
    </comment>
  </commentList>
</comments>
</file>

<file path=xl/sharedStrings.xml><?xml version="1.0" encoding="utf-8"?>
<sst xmlns="http://schemas.openxmlformats.org/spreadsheetml/2006/main" count="213" uniqueCount="156">
  <si>
    <t>Goal Seek Flat IRR such that GPV @ Yield Curve = GPV @ Flat IRR</t>
  </si>
  <si>
    <t>Off</t>
  </si>
  <si>
    <t>Method 2</t>
  </si>
  <si>
    <t>Goal Seek Flat IRR such that Covering Ratio @ Yield Curve = Covering Ratio@ Flat IRR</t>
  </si>
  <si>
    <t>On</t>
  </si>
  <si>
    <t>Method 1</t>
  </si>
  <si>
    <t>Flat IRR</t>
  </si>
  <si>
    <t>Goal</t>
  </si>
  <si>
    <t>Method</t>
  </si>
  <si>
    <t>Switch</t>
  </si>
  <si>
    <t xml:space="preserve">No. </t>
  </si>
  <si>
    <t>Goal Seek Flat IRR -&gt;</t>
  </si>
  <si>
    <t>Covering Ratio</t>
  </si>
  <si>
    <t>PV of SHT</t>
  </si>
  <si>
    <t>PV of TD</t>
  </si>
  <si>
    <t>PV of AD</t>
  </si>
  <si>
    <t>PV of GCF</t>
  </si>
  <si>
    <t>GPV</t>
  </si>
  <si>
    <t>AS</t>
  </si>
  <si>
    <t>@ Flat IRR</t>
  </si>
  <si>
    <t>@ Yield Curve</t>
  </si>
  <si>
    <t>Control:</t>
  </si>
  <si>
    <t>PV of CF -&gt;</t>
  </si>
  <si>
    <t>Discounted Factor *Yield Curve</t>
  </si>
  <si>
    <t>i</t>
  </si>
  <si>
    <t>Overall Asset Yield Curve</t>
  </si>
  <si>
    <t>Bond Yield Curve</t>
  </si>
  <si>
    <t>Others Yield</t>
  </si>
  <si>
    <t>Alternatives Yield</t>
  </si>
  <si>
    <t>Equity Yield Curve</t>
  </si>
  <si>
    <t>Yield Curve</t>
  </si>
  <si>
    <t>Asset Interpolation Spread</t>
  </si>
  <si>
    <t>Reinvestment Bond Yield Yr40+</t>
  </si>
  <si>
    <t>Reinvestment Bond Yield Yr1-30</t>
  </si>
  <si>
    <t>Risk free rate</t>
  </si>
  <si>
    <t>Total bond mix</t>
  </si>
  <si>
    <t>Variables</t>
  </si>
  <si>
    <t>Others</t>
  </si>
  <si>
    <t>Alternatives</t>
  </si>
  <si>
    <t>Equity</t>
  </si>
  <si>
    <t>Bond</t>
  </si>
  <si>
    <t>Asset Mix by Year</t>
  </si>
  <si>
    <t>New Bond</t>
  </si>
  <si>
    <t>Exisitng Bond</t>
  </si>
  <si>
    <t>Bond Mix by Year</t>
  </si>
  <si>
    <t>Overall Asset Yield Curve Working</t>
  </si>
  <si>
    <t>AMC @ Flat IRR</t>
  </si>
  <si>
    <t>AMC @ Yield Curve</t>
  </si>
  <si>
    <t>PC</t>
  </si>
  <si>
    <t>Non-Gua TD</t>
  </si>
  <si>
    <t>Non-Gua AD</t>
  </si>
  <si>
    <t>Gua CF</t>
  </si>
  <si>
    <t>Ending AS @ Flat IRR</t>
  </si>
  <si>
    <t>Ending AS @ Yield Curve</t>
  </si>
  <si>
    <t>Ending AS -&gt;</t>
  </si>
  <si>
    <t>NB Ending AS @ Flat IRR</t>
  </si>
  <si>
    <t>NB AMC @ Flat IRR</t>
  </si>
  <si>
    <t>NB - Int_on_asset share @ Flat IRR</t>
  </si>
  <si>
    <t>NB Ending AS @ Yield Curve</t>
  </si>
  <si>
    <t>NB - AMC @ Yield Curve</t>
  </si>
  <si>
    <t>NB - PC</t>
  </si>
  <si>
    <t>NB - Int_on_asset share @ Yield Curve</t>
  </si>
  <si>
    <t>NB Non-Gua Outflow</t>
  </si>
  <si>
    <t>NB Gua Outflow</t>
  </si>
  <si>
    <t>NB Inflow</t>
  </si>
  <si>
    <t>NB AS Projection -&gt;</t>
  </si>
  <si>
    <t>Existing Ending AS @ Flat IRR</t>
  </si>
  <si>
    <t>Existing AMC @ Flat IRR</t>
  </si>
  <si>
    <t>Existing - Int_on_asset share @ Flat IRR</t>
  </si>
  <si>
    <t>Existing Ending AS @ Yield Curve</t>
  </si>
  <si>
    <t>Existing AMC @ Yield Curve</t>
  </si>
  <si>
    <t>Existing PC</t>
  </si>
  <si>
    <t>Existing - Int_on_asset share @ Yield Curve</t>
  </si>
  <si>
    <t>Existing AS Non-Guar TD</t>
  </si>
  <si>
    <t>Existing AS Non-Guar AD</t>
  </si>
  <si>
    <t>Existing AS Gua CF End</t>
  </si>
  <si>
    <t>Existing AS CF Beg</t>
  </si>
  <si>
    <t>Existing AS Projection -&gt;</t>
  </si>
  <si>
    <t xml:space="preserve">AS Projection Calculation </t>
  </si>
  <si>
    <t>Control</t>
  </si>
  <si>
    <t>Year</t>
  </si>
  <si>
    <t>Output Result</t>
  </si>
  <si>
    <t>Check:</t>
  </si>
  <si>
    <t>Special Formula</t>
  </si>
  <si>
    <t>Flat IRR Yield Curve</t>
  </si>
  <si>
    <t>Discounted Factor *Flat IRR</t>
  </si>
  <si>
    <t>Bond Reinvestment Yield</t>
  </si>
  <si>
    <t>Bond Reinvestment Yield Method 1</t>
  </si>
  <si>
    <t>Bond Reinvestment Yield Method 2</t>
  </si>
  <si>
    <t>Flat IRR Working</t>
  </si>
  <si>
    <t>Output Result: Overall Asset Yield Curve</t>
  </si>
  <si>
    <t>Output Result: Flat_IRR</t>
  </si>
  <si>
    <t>Total CF -&gt;</t>
  </si>
  <si>
    <t xml:space="preserve"> Interest (t) = Yield (t-1)* AS projection (t-1) -&gt;  AS projection (t) = AS projection (t-1) + interest (t) -&gt; Existing Bond Mix (t) -&gt; New Bond Mix (t)  -&gt;  Yield (t) -&gt;  Interest (t+1) = Yield (t)* AS projection (t)</t>
  </si>
  <si>
    <t>Loop Section：</t>
  </si>
  <si>
    <t xml:space="preserve">Policy Loan </t>
  </si>
  <si>
    <t>Other Asset</t>
  </si>
  <si>
    <t>Seed Capital</t>
  </si>
  <si>
    <t>Deposit/ST Govern Bond</t>
  </si>
  <si>
    <t>Cash</t>
  </si>
  <si>
    <t>Dummy_7</t>
  </si>
  <si>
    <t>Dummy_6</t>
  </si>
  <si>
    <t>Dummy_5</t>
  </si>
  <si>
    <t>Dummy_4</t>
  </si>
  <si>
    <t>Dummy_3</t>
  </si>
  <si>
    <t>Dummy_2</t>
  </si>
  <si>
    <t>Hedging Fund</t>
  </si>
  <si>
    <t>Property</t>
  </si>
  <si>
    <t>Loan/Private Credit</t>
  </si>
  <si>
    <t>PE</t>
  </si>
  <si>
    <t>EM</t>
  </si>
  <si>
    <t>DM</t>
  </si>
  <si>
    <t>Securitized - CMBS</t>
  </si>
  <si>
    <t>HY</t>
  </si>
  <si>
    <t>IG_Tradable-LT</t>
  </si>
  <si>
    <t>IG_Tradable-10Y</t>
  </si>
  <si>
    <t>IG_Tradable-ST</t>
  </si>
  <si>
    <t>AC Bond</t>
  </si>
  <si>
    <t>Asset Return</t>
  </si>
  <si>
    <t>Asset Mix</t>
  </si>
  <si>
    <t>Asset Type 2</t>
  </si>
  <si>
    <t>Asset Type 1</t>
  </si>
  <si>
    <t>AssetAssump</t>
  </si>
  <si>
    <t>Asset</t>
  </si>
  <si>
    <t>InititalAssetMix</t>
  </si>
  <si>
    <t>HKD Yield Shock</t>
  </si>
  <si>
    <t>Beg AS</t>
  </si>
  <si>
    <t>Y</t>
  </si>
  <si>
    <t>Interpolation</t>
  </si>
  <si>
    <t xml:space="preserve">IA_RF_YR150 </t>
  </si>
  <si>
    <t>Calendar Year</t>
  </si>
  <si>
    <t>Value</t>
  </si>
  <si>
    <t>OtherAssump</t>
  </si>
  <si>
    <t>IG_AC</t>
  </si>
  <si>
    <t>IG_Others</t>
  </si>
  <si>
    <t>BondCat</t>
  </si>
  <si>
    <t>ExistingBondAmount</t>
  </si>
  <si>
    <t>Overall Bond Yield</t>
  </si>
  <si>
    <t>N/A</t>
  </si>
  <si>
    <t>ExisitngBondYield</t>
  </si>
  <si>
    <t>NB AMC Charge rate</t>
  </si>
  <si>
    <t>NB PC</t>
  </si>
  <si>
    <t>NB Non-Guar Outflow</t>
  </si>
  <si>
    <t>NB Guar Outflow</t>
  </si>
  <si>
    <t>NBCF</t>
  </si>
  <si>
    <t>Existing AMC</t>
  </si>
  <si>
    <t>Existing Non-Guar TD</t>
  </si>
  <si>
    <t>Existing Non-Guar AD</t>
  </si>
  <si>
    <t>Existing Gua CF End</t>
  </si>
  <si>
    <t>Existing CF Beg</t>
  </si>
  <si>
    <t>ExistingCF</t>
  </si>
  <si>
    <t>ExistingLiabilityCF</t>
  </si>
  <si>
    <t>Bond Reinvestment Yield Method</t>
  </si>
  <si>
    <t>NB mix</t>
    <phoneticPr fontId="18" type="noConversion"/>
  </si>
  <si>
    <t xml:space="preserve"> </t>
    <phoneticPr fontId="18" type="noConversion"/>
  </si>
  <si>
    <t>Variable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</si>
</sst>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%"/>
    <numFmt numFmtId="177" formatCode="0.0%"/>
    <numFmt numFmtId="178" formatCode="_(* #,##0.0_);_(* \(#,##0.0\);_(* &quot;-&quot;??_);_(@_)"/>
    <numFmt numFmtId="179" formatCode="0.0"/>
    <numFmt numFmtId="180" formatCode="0.000000000000000%"/>
  </numFmts>
  <fonts count="20">
    <font>
      <sz val="12"/>
      <color theme="1"/>
      <name val="Calibri"/>
      <family val="2"/>
      <charset val="134"/>
    </font>
    <font>
      <sz val="12"/>
      <color theme="1"/>
      <name val="Calibri"/>
      <family val="2"/>
      <charset val="134"/>
    </font>
    <font>
      <b/>
      <sz val="16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2" tint="-0.499984740745262"/>
      <name val="宋体"/>
      <family val="1"/>
      <charset val="136"/>
      <scheme val="minor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i/>
      <sz val="9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9"/>
      <name val="Calibri"/>
      <family val="2"/>
      <charset val="134"/>
    </font>
    <font>
      <sz val="12"/>
      <color theme="1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4" fontId="5" fillId="0" borderId="0" xfId="1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center" vertical="center"/>
    </xf>
    <xf numFmtId="4" fontId="0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0" fontId="0" fillId="0" borderId="0" xfId="2" applyNumberFormat="1" applyFont="1" applyFill="1" applyBorder="1" applyAlignment="1">
      <alignment vertical="center"/>
    </xf>
    <xf numFmtId="178" fontId="0" fillId="0" borderId="0" xfId="1" applyNumberFormat="1" applyFont="1" applyFill="1" applyBorder="1" applyAlignment="1">
      <alignment vertical="center"/>
    </xf>
    <xf numFmtId="178" fontId="0" fillId="0" borderId="0" xfId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vertical="center"/>
    </xf>
    <xf numFmtId="178" fontId="0" fillId="0" borderId="0" xfId="0" applyNumberFormat="1" applyFill="1" applyBorder="1" applyAlignment="1">
      <alignment vertical="center"/>
    </xf>
    <xf numFmtId="10" fontId="0" fillId="2" borderId="1" xfId="2" applyNumberFormat="1" applyFont="1" applyFill="1" applyBorder="1" applyAlignment="1">
      <alignment vertical="center"/>
    </xf>
    <xf numFmtId="177" fontId="7" fillId="0" borderId="1" xfId="2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78" fontId="7" fillId="0" borderId="1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9" fontId="0" fillId="0" borderId="1" xfId="2" applyFont="1" applyFill="1" applyBorder="1" applyAlignment="1">
      <alignment vertical="center"/>
    </xf>
    <xf numFmtId="0" fontId="8" fillId="0" borderId="1" xfId="3" applyFont="1" applyBorder="1"/>
    <xf numFmtId="2" fontId="4" fillId="0" borderId="1" xfId="0" applyNumberFormat="1" applyFont="1" applyFill="1" applyBorder="1" applyAlignment="1">
      <alignment vertical="center"/>
    </xf>
    <xf numFmtId="179" fontId="0" fillId="0" borderId="1" xfId="1" applyNumberFormat="1" applyFont="1" applyFill="1" applyBorder="1" applyAlignment="1">
      <alignment vertical="center"/>
    </xf>
    <xf numFmtId="179" fontId="0" fillId="0" borderId="1" xfId="0" applyNumberFormat="1" applyFont="1" applyFill="1" applyBorder="1" applyAlignment="1">
      <alignment vertical="center"/>
    </xf>
    <xf numFmtId="178" fontId="8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10" fontId="0" fillId="0" borderId="1" xfId="2" applyNumberFormat="1" applyFont="1" applyFill="1" applyBorder="1"/>
    <xf numFmtId="10" fontId="0" fillId="3" borderId="1" xfId="0" applyNumberFormat="1" applyFill="1" applyBorder="1"/>
    <xf numFmtId="0" fontId="8" fillId="0" borderId="1" xfId="0" applyFont="1" applyFill="1" applyBorder="1" applyAlignment="1">
      <alignment horizontal="left"/>
    </xf>
    <xf numFmtId="1" fontId="8" fillId="4" borderId="1" xfId="0" applyNumberFormat="1" applyFont="1" applyFill="1" applyBorder="1"/>
    <xf numFmtId="0" fontId="8" fillId="4" borderId="1" xfId="0" applyFont="1" applyFill="1" applyBorder="1"/>
    <xf numFmtId="10" fontId="0" fillId="0" borderId="0" xfId="2" applyNumberFormat="1" applyFont="1" applyFill="1" applyBorder="1"/>
    <xf numFmtId="10" fontId="0" fillId="0" borderId="0" xfId="0" applyNumberFormat="1" applyFill="1" applyBorder="1"/>
    <xf numFmtId="0" fontId="8" fillId="0" borderId="0" xfId="0" applyFont="1" applyFill="1" applyBorder="1" applyAlignment="1">
      <alignment horizontal="left"/>
    </xf>
    <xf numFmtId="10" fontId="0" fillId="2" borderId="1" xfId="2" applyNumberFormat="1" applyFont="1" applyFill="1" applyBorder="1"/>
    <xf numFmtId="0" fontId="8" fillId="0" borderId="1" xfId="0" applyFont="1" applyFill="1" applyBorder="1"/>
    <xf numFmtId="10" fontId="0" fillId="0" borderId="1" xfId="2" applyNumberFormat="1" applyFont="1" applyBorder="1"/>
    <xf numFmtId="0" fontId="8" fillId="0" borderId="1" xfId="0" applyFont="1" applyBorder="1"/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0" fontId="5" fillId="0" borderId="1" xfId="2" applyNumberFormat="1" applyFont="1" applyFill="1" applyBorder="1"/>
    <xf numFmtId="10" fontId="0" fillId="0" borderId="1" xfId="2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0" fontId="0" fillId="0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1" fillId="0" borderId="0" xfId="0" applyFont="1" applyFill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0" fontId="5" fillId="3" borderId="1" xfId="2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Fill="1" applyBorder="1"/>
    <xf numFmtId="2" fontId="0" fillId="0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8" fillId="4" borderId="1" xfId="0" applyFont="1" applyFill="1" applyBorder="1" applyAlignment="1">
      <alignment horizontal="right"/>
    </xf>
    <xf numFmtId="0" fontId="4" fillId="0" borderId="0" xfId="0" applyFont="1" applyFill="1" applyBorder="1"/>
    <xf numFmtId="0" fontId="9" fillId="0" borderId="0" xfId="0" applyFont="1" applyFill="1" applyBorder="1"/>
    <xf numFmtId="177" fontId="0" fillId="0" borderId="0" xfId="2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10" fontId="0" fillId="0" borderId="0" xfId="0" applyNumberForma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right" vertical="center"/>
    </xf>
    <xf numFmtId="2" fontId="0" fillId="3" borderId="1" xfId="2" quotePrefix="1" applyNumberFormat="1" applyFont="1" applyFill="1" applyBorder="1" applyAlignment="1">
      <alignment horizontal="right" vertical="center"/>
    </xf>
    <xf numFmtId="2" fontId="0" fillId="3" borderId="1" xfId="2" applyNumberFormat="1" applyFont="1" applyFill="1" applyBorder="1" applyAlignment="1">
      <alignment horizontal="right" vertical="center"/>
    </xf>
    <xf numFmtId="2" fontId="0" fillId="0" borderId="1" xfId="2" applyNumberFormat="1" applyFont="1" applyBorder="1" applyAlignment="1">
      <alignment horizontal="right"/>
    </xf>
    <xf numFmtId="2" fontId="0" fillId="0" borderId="1" xfId="2" applyNumberFormat="1" applyFont="1" applyFill="1" applyBorder="1"/>
    <xf numFmtId="2" fontId="0" fillId="3" borderId="1" xfId="2" applyNumberFormat="1" applyFont="1" applyFill="1" applyBorder="1"/>
    <xf numFmtId="179" fontId="0" fillId="0" borderId="1" xfId="2" applyNumberFormat="1" applyFont="1" applyBorder="1"/>
    <xf numFmtId="179" fontId="0" fillId="3" borderId="1" xfId="2" applyNumberFormat="1" applyFont="1" applyFill="1" applyBorder="1"/>
    <xf numFmtId="0" fontId="9" fillId="0" borderId="0" xfId="0" applyFont="1" applyFill="1" applyBorder="1" applyAlignment="1">
      <alignment vertical="center"/>
    </xf>
    <xf numFmtId="10" fontId="0" fillId="0" borderId="0" xfId="2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right" vertical="center"/>
    </xf>
    <xf numFmtId="2" fontId="9" fillId="0" borderId="1" xfId="0" applyNumberFormat="1" applyFont="1" applyFill="1" applyBorder="1" applyAlignment="1">
      <alignment horizontal="right" vertical="center"/>
    </xf>
    <xf numFmtId="2" fontId="0" fillId="0" borderId="1" xfId="2" quotePrefix="1" applyNumberFormat="1" applyFon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0" fontId="12" fillId="0" borderId="0" xfId="3" applyFont="1" applyBorder="1"/>
    <xf numFmtId="0" fontId="2" fillId="0" borderId="0" xfId="0" applyFont="1" applyAlignment="1">
      <alignment horizontal="center" vertical="center"/>
    </xf>
    <xf numFmtId="10" fontId="0" fillId="0" borderId="0" xfId="1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horizontal="center" vertical="center"/>
    </xf>
    <xf numFmtId="10" fontId="10" fillId="0" borderId="0" xfId="1" applyNumberFormat="1" applyFont="1" applyFill="1" applyBorder="1" applyAlignment="1">
      <alignment vertical="center"/>
    </xf>
    <xf numFmtId="2" fontId="10" fillId="0" borderId="0" xfId="0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left"/>
    </xf>
    <xf numFmtId="0" fontId="2" fillId="0" borderId="0" xfId="0" applyFont="1"/>
    <xf numFmtId="10" fontId="10" fillId="0" borderId="0" xfId="0" applyNumberFormat="1" applyFont="1" applyFill="1" applyBorder="1" applyAlignment="1">
      <alignment vertical="center"/>
    </xf>
    <xf numFmtId="1" fontId="8" fillId="4" borderId="1" xfId="0" applyNumberFormat="1" applyFont="1" applyFill="1" applyBorder="1" applyAlignment="1">
      <alignment horizontal="right"/>
    </xf>
    <xf numFmtId="0" fontId="8" fillId="4" borderId="1" xfId="0" applyNumberFormat="1" applyFont="1" applyFill="1" applyBorder="1" applyAlignment="1">
      <alignment horizontal="right"/>
    </xf>
    <xf numFmtId="43" fontId="0" fillId="0" borderId="0" xfId="1" applyFont="1" applyAlignment="1">
      <alignment vertical="center"/>
    </xf>
    <xf numFmtId="0" fontId="13" fillId="2" borderId="0" xfId="0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177" fontId="7" fillId="0" borderId="0" xfId="2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177" fontId="7" fillId="0" borderId="2" xfId="2" applyNumberFormat="1" applyFont="1" applyFill="1" applyBorder="1" applyAlignment="1">
      <alignment vertical="center"/>
    </xf>
    <xf numFmtId="178" fontId="0" fillId="0" borderId="2" xfId="1" applyNumberFormat="1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vertical="center"/>
    </xf>
    <xf numFmtId="0" fontId="16" fillId="0" borderId="0" xfId="0" applyFont="1" applyAlignment="1">
      <alignment vertical="center"/>
    </xf>
    <xf numFmtId="180" fontId="0" fillId="3" borderId="1" xfId="2" applyNumberFormat="1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9" fillId="0" borderId="0" xfId="3"/>
    <xf numFmtId="0" fontId="9" fillId="0" borderId="0" xfId="3" applyAlignment="1">
      <alignment horizontal="right"/>
    </xf>
    <xf numFmtId="0" fontId="9" fillId="0" borderId="3" xfId="3" applyBorder="1"/>
    <xf numFmtId="10" fontId="0" fillId="0" borderId="0" xfId="4" applyNumberFormat="1" applyFont="1"/>
    <xf numFmtId="0" fontId="13" fillId="0" borderId="0" xfId="3" applyFont="1"/>
    <xf numFmtId="0" fontId="9" fillId="0" borderId="0" xfId="3" applyFont="1"/>
    <xf numFmtId="0" fontId="0" fillId="5" borderId="0" xfId="0" applyFill="1"/>
    <xf numFmtId="14" fontId="9" fillId="0" borderId="0" xfId="3" applyNumberFormat="1"/>
    <xf numFmtId="0" fontId="13" fillId="6" borderId="0" xfId="3" applyFont="1" applyFill="1"/>
    <xf numFmtId="0" fontId="9" fillId="6" borderId="0" xfId="3" applyFill="1"/>
    <xf numFmtId="0" fontId="19" fillId="0" borderId="0" xfId="3" applyFont="1"/>
  </cellXfs>
  <cellStyles count="5">
    <cellStyle name="Comma" xfId="1" builtinId="3"/>
    <cellStyle name="Normal" xfId="0" builtinId="0"/>
    <cellStyle name="Percent" xfId="2" builtinId="5"/>
    <cellStyle name="百分比 2" xfId="4" xr:uid="{00000000-0005-0000-0000-000001000000}"/>
    <cellStyle name="一般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%20ALM/08.%20SAA/2025/07.%20SAA%20&#25955;&#28857;&#22270;&#27169;&#22411;/modelALM_0313/10.2026%20SAA-%20HK%20LGP_template%20for%203.2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3. Working-&gt; "/>
      <sheetName val="3.2 2026 - &gt;"/>
      <sheetName val="3.2.1 Optimization"/>
      <sheetName val="3.2.2 Yield Curve_USD"/>
      <sheetName val="3.2.2 Yield Curve_USD_Input"/>
      <sheetName val="3.2.2 Yield Curve_USD_workflow"/>
      <sheetName val="3.2.3 Test and Sensitivity_RBC"/>
      <sheetName val="2. Assumption -&gt; "/>
      <sheetName val="2.2 Assumption"/>
      <sheetName val="1. Input -&gt;"/>
      <sheetName val="1.1 Bond Dist"/>
      <sheetName val="1.2 Asset Info"/>
      <sheetName val="1.3 Liablity Info"/>
      <sheetName val="1.4 RBC Info - Risk Free Rate"/>
      <sheetName val="Reference -&gt;"/>
      <sheetName val="Z-Score"/>
    </sheetNames>
    <sheetDataSet>
      <sheetData sheetId="0"/>
      <sheetData sheetId="1"/>
      <sheetData sheetId="2"/>
      <sheetData sheetId="3"/>
      <sheetData sheetId="4">
        <row r="3">
          <cell r="D3">
            <v>332.49053302727589</v>
          </cell>
        </row>
        <row r="4">
          <cell r="D4">
            <v>205.40077020873423</v>
          </cell>
          <cell r="E4">
            <v>205.35365382418703</v>
          </cell>
        </row>
        <row r="5">
          <cell r="D5">
            <v>-532.46433448973721</v>
          </cell>
          <cell r="E5">
            <v>-526.61894391523242</v>
          </cell>
        </row>
        <row r="6">
          <cell r="D6">
            <v>11.328411798958438</v>
          </cell>
          <cell r="E6">
            <v>11.234218966172902</v>
          </cell>
        </row>
        <row r="7">
          <cell r="D7">
            <v>522.73162213601495</v>
          </cell>
          <cell r="E7">
            <v>519.04992316461744</v>
          </cell>
        </row>
        <row r="8">
          <cell r="D8">
            <v>203.80507076349807</v>
          </cell>
          <cell r="E8">
            <v>201.68845560862914</v>
          </cell>
        </row>
        <row r="10">
          <cell r="E10">
            <v>7.3867569310983899E-2</v>
          </cell>
        </row>
        <row r="35">
          <cell r="K35">
            <v>6.7524374723307842E-2</v>
          </cell>
          <cell r="L35">
            <v>6.9095197587855428E-2</v>
          </cell>
          <cell r="M35">
            <v>7.1037501719028409E-2</v>
          </cell>
          <cell r="N35">
            <v>7.2476579022261844E-2</v>
          </cell>
          <cell r="O35">
            <v>7.4243368231740797E-2</v>
          </cell>
          <cell r="P35">
            <v>7.40227552067418E-2</v>
          </cell>
          <cell r="Q35">
            <v>7.4260784736391541E-2</v>
          </cell>
          <cell r="R35">
            <v>7.4205213850221788E-2</v>
          </cell>
          <cell r="S35">
            <v>7.4069611650763076E-2</v>
          </cell>
          <cell r="T35">
            <v>7.4455548426391224E-2</v>
          </cell>
          <cell r="U35">
            <v>7.4176948521377017E-2</v>
          </cell>
          <cell r="V35">
            <v>7.4220957996069259E-2</v>
          </cell>
          <cell r="W35">
            <v>7.4366337424715268E-2</v>
          </cell>
          <cell r="X35">
            <v>7.4463489608068839E-2</v>
          </cell>
          <cell r="Y35">
            <v>7.4516551849549542E-2</v>
          </cell>
          <cell r="Z35">
            <v>7.4530280353002423E-2</v>
          </cell>
          <cell r="AA35">
            <v>7.4504557497937413E-2</v>
          </cell>
          <cell r="AB35">
            <v>7.4443937597271595E-2</v>
          </cell>
          <cell r="AC35">
            <v>7.4371791681995175E-2</v>
          </cell>
          <cell r="AD35">
            <v>7.4280088497367211E-2</v>
          </cell>
          <cell r="AE35">
            <v>7.4167417788431361E-2</v>
          </cell>
          <cell r="AF35">
            <v>7.4040810862014472E-2</v>
          </cell>
          <cell r="AG35">
            <v>7.3934738342518458E-2</v>
          </cell>
          <cell r="AH35">
            <v>7.3842988776060201E-2</v>
          </cell>
          <cell r="AI35">
            <v>7.3773398640134588E-2</v>
          </cell>
          <cell r="AJ35">
            <v>7.3720027984633604E-2</v>
          </cell>
          <cell r="AK35">
            <v>7.3693370869724856E-2</v>
          </cell>
          <cell r="AL35">
            <v>7.367224696845226E-2</v>
          </cell>
          <cell r="AM35">
            <v>7.3647974380161199E-2</v>
          </cell>
          <cell r="AN35">
            <v>7.3634754986688949E-2</v>
          </cell>
          <cell r="AO35">
            <v>7.3686056611242098E-2</v>
          </cell>
          <cell r="AP35">
            <v>7.3684733888040019E-2</v>
          </cell>
          <cell r="AQ35">
            <v>7.3865965825987132E-2</v>
          </cell>
          <cell r="AR35">
            <v>7.4046955803814776E-2</v>
          </cell>
          <cell r="AS35">
            <v>7.4227958133969207E-2</v>
          </cell>
          <cell r="AT35">
            <v>7.4409100141981668E-2</v>
          </cell>
          <cell r="AU35">
            <v>7.4597203298062756E-2</v>
          </cell>
          <cell r="AV35">
            <v>7.4779467535867519E-2</v>
          </cell>
          <cell r="AW35">
            <v>7.4961217602366848E-2</v>
          </cell>
          <cell r="AX35">
            <v>7.5143860230575968E-2</v>
          </cell>
          <cell r="AY35">
            <v>7.5325929316119228E-2</v>
          </cell>
          <cell r="AZ35">
            <v>7.5507960594136211E-2</v>
          </cell>
          <cell r="BA35">
            <v>7.5508250702771382E-2</v>
          </cell>
          <cell r="BB35">
            <v>7.5508948320995112E-2</v>
          </cell>
          <cell r="BC35">
            <v>7.5509036698952384E-2</v>
          </cell>
          <cell r="BD35">
            <v>7.55093095262592E-2</v>
          </cell>
          <cell r="BE35">
            <v>7.5509646069234354E-2</v>
          </cell>
          <cell r="BF35">
            <v>7.5509976106389057E-2</v>
          </cell>
          <cell r="BG35">
            <v>7.5524174110107853E-2</v>
          </cell>
          <cell r="BH35">
            <v>7.5524174110107853E-2</v>
          </cell>
          <cell r="BI35">
            <v>7.5524174110107853E-2</v>
          </cell>
          <cell r="BJ35">
            <v>7.5524174110107853E-2</v>
          </cell>
          <cell r="BK35">
            <v>7.5524174110107853E-2</v>
          </cell>
          <cell r="BL35">
            <v>7.5524174110107853E-2</v>
          </cell>
          <cell r="BM35">
            <v>7.5524174110107853E-2</v>
          </cell>
          <cell r="BN35">
            <v>7.5524174110107853E-2</v>
          </cell>
          <cell r="BO35">
            <v>7.5524174110107853E-2</v>
          </cell>
          <cell r="BP35">
            <v>7.5524174110107853E-2</v>
          </cell>
          <cell r="BQ35">
            <v>7.5524174110107853E-2</v>
          </cell>
          <cell r="BR35">
            <v>7.5524174110107853E-2</v>
          </cell>
          <cell r="BS35">
            <v>7.5524174110107853E-2</v>
          </cell>
          <cell r="BT35">
            <v>7.5524174110107853E-2</v>
          </cell>
          <cell r="BU35">
            <v>7.5524174110107853E-2</v>
          </cell>
          <cell r="BV35">
            <v>7.5524174110107853E-2</v>
          </cell>
          <cell r="BW35">
            <v>7.5524174110107853E-2</v>
          </cell>
          <cell r="BX35">
            <v>7.5524174110107853E-2</v>
          </cell>
          <cell r="BY35">
            <v>7.5524174110107853E-2</v>
          </cell>
          <cell r="BZ35">
            <v>7.5524174110107853E-2</v>
          </cell>
          <cell r="CA35">
            <v>7.5524174110107853E-2</v>
          </cell>
          <cell r="CB35">
            <v>7.5524174110107853E-2</v>
          </cell>
          <cell r="CC35">
            <v>7.5524174110107853E-2</v>
          </cell>
          <cell r="CD35">
            <v>7.5524174110107853E-2</v>
          </cell>
          <cell r="CE35">
            <v>7.5524174110107853E-2</v>
          </cell>
          <cell r="CF35">
            <v>7.5524174110107853E-2</v>
          </cell>
          <cell r="CG35">
            <v>7.5524174110107853E-2</v>
          </cell>
          <cell r="CH35">
            <v>7.5524174110107853E-2</v>
          </cell>
          <cell r="CI35">
            <v>7.5524174110107853E-2</v>
          </cell>
          <cell r="CJ35">
            <v>7.5524174110107853E-2</v>
          </cell>
          <cell r="CK35">
            <v>7.5524174110107853E-2</v>
          </cell>
          <cell r="CL35">
            <v>7.5524174110107853E-2</v>
          </cell>
          <cell r="CM35">
            <v>7.5524174110107853E-2</v>
          </cell>
          <cell r="CN35">
            <v>7.5524174110107853E-2</v>
          </cell>
          <cell r="CO35">
            <v>7.5524174110107853E-2</v>
          </cell>
          <cell r="CP35">
            <v>7.5524174110107853E-2</v>
          </cell>
          <cell r="CQ35">
            <v>7.5524174110107853E-2</v>
          </cell>
          <cell r="CR35">
            <v>7.5524174110107853E-2</v>
          </cell>
          <cell r="CS35">
            <v>7.5524174110107853E-2</v>
          </cell>
          <cell r="CT35">
            <v>7.5524174110107853E-2</v>
          </cell>
          <cell r="CU35">
            <v>7.5524174110107853E-2</v>
          </cell>
          <cell r="CV35">
            <v>7.5524174110107853E-2</v>
          </cell>
          <cell r="CW35">
            <v>7.5524174110107853E-2</v>
          </cell>
          <cell r="CX35">
            <v>7.5524174110107853E-2</v>
          </cell>
          <cell r="CY35">
            <v>7.5524174110107853E-2</v>
          </cell>
          <cell r="CZ35">
            <v>7.5524174110107853E-2</v>
          </cell>
          <cell r="DA35">
            <v>7.5524174110107853E-2</v>
          </cell>
          <cell r="DB35">
            <v>7.5524174110107853E-2</v>
          </cell>
          <cell r="DC35">
            <v>7.5524174110107853E-2</v>
          </cell>
          <cell r="DD35">
            <v>7.5524174110107853E-2</v>
          </cell>
          <cell r="DE35">
            <v>7.5524174110107853E-2</v>
          </cell>
          <cell r="DF35">
            <v>7.5524174110107853E-2</v>
          </cell>
          <cell r="DG35">
            <v>7.5524174110107853E-2</v>
          </cell>
          <cell r="DH35">
            <v>7.5524174110107853E-2</v>
          </cell>
          <cell r="DI35">
            <v>7.5524174110107853E-2</v>
          </cell>
          <cell r="DJ35">
            <v>7.5524174110107853E-2</v>
          </cell>
          <cell r="DK35">
            <v>7.5524174110107853E-2</v>
          </cell>
          <cell r="DL35">
            <v>7.5524174110107853E-2</v>
          </cell>
          <cell r="DM35">
            <v>7.5524174110107853E-2</v>
          </cell>
          <cell r="DN35">
            <v>7.5524174110107853E-2</v>
          </cell>
          <cell r="DO35">
            <v>7.5524174110107853E-2</v>
          </cell>
          <cell r="DP35">
            <v>7.5524174110107853E-2</v>
          </cell>
          <cell r="DQ35">
            <v>7.5524174110107853E-2</v>
          </cell>
          <cell r="DR35">
            <v>7.5524174110107853E-2</v>
          </cell>
          <cell r="DS35">
            <v>7.5524174110107853E-2</v>
          </cell>
          <cell r="DT35">
            <v>7.5524174110107853E-2</v>
          </cell>
          <cell r="DU35">
            <v>7.5524174110107853E-2</v>
          </cell>
          <cell r="DV35">
            <v>7.5524174110107853E-2</v>
          </cell>
          <cell r="DW35">
            <v>7.5524174110107853E-2</v>
          </cell>
          <cell r="DX35">
            <v>7.5524174110107853E-2</v>
          </cell>
          <cell r="DY35">
            <v>7.5524174110107853E-2</v>
          </cell>
          <cell r="DZ35">
            <v>7.5524174110107853E-2</v>
          </cell>
          <cell r="EA35">
            <v>7.5524174110107853E-2</v>
          </cell>
          <cell r="EB35">
            <v>7.5524174110107853E-2</v>
          </cell>
          <cell r="EC35">
            <v>7.5524174110107853E-2</v>
          </cell>
          <cell r="ED35">
            <v>7.5524174110107853E-2</v>
          </cell>
          <cell r="EE35">
            <v>7.5524174110107853E-2</v>
          </cell>
          <cell r="EF35">
            <v>7.5524174110107853E-2</v>
          </cell>
          <cell r="EG35">
            <v>7.5524174110107853E-2</v>
          </cell>
          <cell r="EH35">
            <v>7.5524174110107853E-2</v>
          </cell>
          <cell r="EI35">
            <v>7.5524174110107853E-2</v>
          </cell>
          <cell r="EJ35">
            <v>7.5524174110107853E-2</v>
          </cell>
          <cell r="EK35">
            <v>7.5524174110107853E-2</v>
          </cell>
          <cell r="EL35">
            <v>7.5524174110107853E-2</v>
          </cell>
          <cell r="EM35">
            <v>7.5524174110107853E-2</v>
          </cell>
          <cell r="EN35">
            <v>7.5524174110107853E-2</v>
          </cell>
          <cell r="EO35">
            <v>7.5524174110107853E-2</v>
          </cell>
          <cell r="EP35">
            <v>7.5524174110107853E-2</v>
          </cell>
          <cell r="EQ35">
            <v>7.5524174110107853E-2</v>
          </cell>
          <cell r="ER35">
            <v>7.5524174110107853E-2</v>
          </cell>
          <cell r="ES35">
            <v>7.5524174110107853E-2</v>
          </cell>
          <cell r="ET35">
            <v>7.5524174110107853E-2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53"/>
  <sheetViews>
    <sheetView showGridLines="0" tabSelected="1" zoomScale="70" zoomScaleNormal="70" workbookViewId="0">
      <selection activeCell="D46" sqref="D46"/>
    </sheetView>
  </sheetViews>
  <sheetFormatPr defaultRowHeight="15.75"/>
  <cols>
    <col min="1" max="1" width="12.25" style="1" bestFit="1" customWidth="1"/>
    <col min="2" max="2" width="54.375" style="1" customWidth="1"/>
    <col min="3" max="3" width="18.125" style="1" bestFit="1" customWidth="1"/>
    <col min="4" max="4" width="45.5" style="1" customWidth="1"/>
    <col min="5" max="5" width="22.5" style="1" bestFit="1" customWidth="1"/>
    <col min="6" max="6" width="23.5" style="1" customWidth="1"/>
    <col min="7" max="7" width="22.5" style="1" bestFit="1" customWidth="1"/>
    <col min="8" max="8" width="24.25" style="1" bestFit="1" customWidth="1"/>
    <col min="9" max="12" width="22.5" style="1" bestFit="1" customWidth="1"/>
    <col min="13" max="13" width="10.25" style="1" customWidth="1"/>
    <col min="14" max="14" width="24" style="1" customWidth="1"/>
    <col min="15" max="20" width="22.5" style="1" bestFit="1" customWidth="1"/>
    <col min="21" max="21" width="6.625" style="1" customWidth="1"/>
    <col min="22" max="142" width="22.5" style="1" bestFit="1" customWidth="1"/>
    <col min="143" max="16384" width="9" style="1"/>
  </cols>
  <sheetData>
    <row r="1" spans="2:142">
      <c r="B1" s="107" t="s">
        <v>83</v>
      </c>
    </row>
    <row r="2" spans="2:142">
      <c r="B2" s="104" t="s">
        <v>81</v>
      </c>
    </row>
    <row r="4" spans="2:142">
      <c r="B4" s="113"/>
    </row>
    <row r="5" spans="2:142" ht="23.25">
      <c r="B5" s="115" t="s">
        <v>94</v>
      </c>
    </row>
    <row r="6" spans="2:142" ht="23.25">
      <c r="B6" s="115" t="s">
        <v>93</v>
      </c>
    </row>
    <row r="7" spans="2:142" s="37" customFormat="1" ht="16.5" thickBot="1"/>
    <row r="8" spans="2:142" ht="16.5" thickTop="1">
      <c r="D8" s="106" t="s">
        <v>82</v>
      </c>
      <c r="E8" s="105">
        <f ca="1">SUM(C13:EL13,B17,H74:J79)</f>
        <v>0</v>
      </c>
      <c r="F8" s="103"/>
    </row>
    <row r="9" spans="2:142" ht="20.25">
      <c r="B9" s="67" t="s">
        <v>90</v>
      </c>
      <c r="F9" s="103"/>
    </row>
    <row r="10" spans="2:142">
      <c r="B10" s="44" t="s">
        <v>24</v>
      </c>
      <c r="C10" s="44">
        <v>0</v>
      </c>
      <c r="D10" s="43">
        <v>1</v>
      </c>
      <c r="E10" s="43">
        <v>2</v>
      </c>
      <c r="F10" s="43">
        <v>3</v>
      </c>
      <c r="G10" s="43">
        <v>4</v>
      </c>
      <c r="H10" s="43">
        <v>5</v>
      </c>
      <c r="I10" s="43">
        <v>6</v>
      </c>
      <c r="J10" s="43">
        <v>7</v>
      </c>
      <c r="K10" s="43">
        <v>8</v>
      </c>
      <c r="L10" s="43">
        <v>9</v>
      </c>
      <c r="M10" s="43">
        <v>10</v>
      </c>
      <c r="N10" s="43">
        <v>11</v>
      </c>
      <c r="O10" s="43">
        <v>12</v>
      </c>
      <c r="P10" s="43">
        <v>13</v>
      </c>
      <c r="Q10" s="43">
        <v>14</v>
      </c>
      <c r="R10" s="43">
        <v>15</v>
      </c>
      <c r="S10" s="43">
        <v>16</v>
      </c>
      <c r="T10" s="43">
        <v>17</v>
      </c>
      <c r="U10" s="43">
        <v>18</v>
      </c>
      <c r="V10" s="43">
        <v>19</v>
      </c>
      <c r="W10" s="43">
        <v>20</v>
      </c>
      <c r="X10" s="43">
        <v>21</v>
      </c>
      <c r="Y10" s="43">
        <v>22</v>
      </c>
      <c r="Z10" s="43">
        <v>23</v>
      </c>
      <c r="AA10" s="43">
        <v>24</v>
      </c>
      <c r="AB10" s="43">
        <v>25</v>
      </c>
      <c r="AC10" s="43">
        <v>26</v>
      </c>
      <c r="AD10" s="43">
        <v>27</v>
      </c>
      <c r="AE10" s="43">
        <v>28</v>
      </c>
      <c r="AF10" s="43">
        <v>29</v>
      </c>
      <c r="AG10" s="43">
        <v>30</v>
      </c>
      <c r="AH10" s="43">
        <v>31</v>
      </c>
      <c r="AI10" s="43">
        <v>32</v>
      </c>
      <c r="AJ10" s="43">
        <v>33</v>
      </c>
      <c r="AK10" s="43">
        <v>34</v>
      </c>
      <c r="AL10" s="43">
        <v>35</v>
      </c>
      <c r="AM10" s="43">
        <v>36</v>
      </c>
      <c r="AN10" s="43">
        <v>37</v>
      </c>
      <c r="AO10" s="43">
        <v>38</v>
      </c>
      <c r="AP10" s="43">
        <v>39</v>
      </c>
      <c r="AQ10" s="43">
        <v>40</v>
      </c>
      <c r="AR10" s="43">
        <v>41</v>
      </c>
      <c r="AS10" s="43">
        <v>42</v>
      </c>
      <c r="AT10" s="43">
        <v>43</v>
      </c>
      <c r="AU10" s="43">
        <v>44</v>
      </c>
      <c r="AV10" s="43">
        <v>45</v>
      </c>
      <c r="AW10" s="43">
        <v>46</v>
      </c>
      <c r="AX10" s="43">
        <v>47</v>
      </c>
      <c r="AY10" s="43">
        <v>48</v>
      </c>
      <c r="AZ10" s="43">
        <v>49</v>
      </c>
      <c r="BA10" s="43">
        <v>50</v>
      </c>
      <c r="BB10" s="43">
        <v>51</v>
      </c>
      <c r="BC10" s="43">
        <v>52</v>
      </c>
      <c r="BD10" s="43">
        <v>53</v>
      </c>
      <c r="BE10" s="43">
        <v>54</v>
      </c>
      <c r="BF10" s="43">
        <v>55</v>
      </c>
      <c r="BG10" s="43">
        <v>56</v>
      </c>
      <c r="BH10" s="43">
        <v>57</v>
      </c>
      <c r="BI10" s="43">
        <v>58</v>
      </c>
      <c r="BJ10" s="43">
        <v>59</v>
      </c>
      <c r="BK10" s="43">
        <v>60</v>
      </c>
      <c r="BL10" s="43">
        <v>61</v>
      </c>
      <c r="BM10" s="43">
        <v>62</v>
      </c>
      <c r="BN10" s="43">
        <v>63</v>
      </c>
      <c r="BO10" s="43">
        <v>64</v>
      </c>
      <c r="BP10" s="43">
        <v>65</v>
      </c>
      <c r="BQ10" s="43">
        <v>66</v>
      </c>
      <c r="BR10" s="43">
        <v>67</v>
      </c>
      <c r="BS10" s="43">
        <v>68</v>
      </c>
      <c r="BT10" s="43">
        <v>69</v>
      </c>
      <c r="BU10" s="43">
        <v>70</v>
      </c>
      <c r="BV10" s="43">
        <v>71</v>
      </c>
      <c r="BW10" s="43">
        <v>72</v>
      </c>
      <c r="BX10" s="43">
        <v>73</v>
      </c>
      <c r="BY10" s="43">
        <v>74</v>
      </c>
      <c r="BZ10" s="43">
        <v>75</v>
      </c>
      <c r="CA10" s="43">
        <v>76</v>
      </c>
      <c r="CB10" s="43">
        <v>77</v>
      </c>
      <c r="CC10" s="43">
        <v>78</v>
      </c>
      <c r="CD10" s="43">
        <v>79</v>
      </c>
      <c r="CE10" s="43">
        <v>80</v>
      </c>
      <c r="CF10" s="43">
        <v>81</v>
      </c>
      <c r="CG10" s="43">
        <v>82</v>
      </c>
      <c r="CH10" s="43">
        <v>83</v>
      </c>
      <c r="CI10" s="43">
        <v>84</v>
      </c>
      <c r="CJ10" s="43">
        <v>85</v>
      </c>
      <c r="CK10" s="43">
        <v>86</v>
      </c>
      <c r="CL10" s="43">
        <v>87</v>
      </c>
      <c r="CM10" s="43">
        <v>88</v>
      </c>
      <c r="CN10" s="43">
        <v>89</v>
      </c>
      <c r="CO10" s="43">
        <v>90</v>
      </c>
      <c r="CP10" s="43">
        <v>91</v>
      </c>
      <c r="CQ10" s="43">
        <v>92</v>
      </c>
      <c r="CR10" s="43">
        <v>93</v>
      </c>
      <c r="CS10" s="43">
        <v>94</v>
      </c>
      <c r="CT10" s="43">
        <v>95</v>
      </c>
      <c r="CU10" s="43">
        <v>96</v>
      </c>
      <c r="CV10" s="43">
        <v>97</v>
      </c>
      <c r="CW10" s="43">
        <v>98</v>
      </c>
      <c r="CX10" s="43">
        <v>99</v>
      </c>
      <c r="CY10" s="43">
        <v>100</v>
      </c>
      <c r="CZ10" s="43">
        <v>101</v>
      </c>
      <c r="DA10" s="43">
        <v>102</v>
      </c>
      <c r="DB10" s="43">
        <v>103</v>
      </c>
      <c r="DC10" s="43">
        <v>104</v>
      </c>
      <c r="DD10" s="43">
        <v>105</v>
      </c>
      <c r="DE10" s="43">
        <v>106</v>
      </c>
      <c r="DF10" s="43">
        <v>107</v>
      </c>
      <c r="DG10" s="43">
        <v>108</v>
      </c>
      <c r="DH10" s="43">
        <v>109</v>
      </c>
      <c r="DI10" s="43">
        <v>110</v>
      </c>
      <c r="DJ10" s="43">
        <v>111</v>
      </c>
      <c r="DK10" s="43">
        <v>112</v>
      </c>
      <c r="DL10" s="43">
        <v>113</v>
      </c>
      <c r="DM10" s="43">
        <v>114</v>
      </c>
      <c r="DN10" s="43">
        <v>115</v>
      </c>
      <c r="DO10" s="43">
        <v>116</v>
      </c>
      <c r="DP10" s="43">
        <v>117</v>
      </c>
      <c r="DQ10" s="43">
        <v>118</v>
      </c>
      <c r="DR10" s="43">
        <v>119</v>
      </c>
      <c r="DS10" s="43">
        <v>120</v>
      </c>
      <c r="DT10" s="43">
        <v>121</v>
      </c>
      <c r="DU10" s="43">
        <v>122</v>
      </c>
      <c r="DV10" s="43">
        <v>123</v>
      </c>
      <c r="DW10" s="43">
        <v>124</v>
      </c>
      <c r="DX10" s="43">
        <v>125</v>
      </c>
      <c r="DY10" s="43">
        <v>126</v>
      </c>
      <c r="DZ10" s="43">
        <v>127</v>
      </c>
      <c r="EA10" s="43">
        <v>128</v>
      </c>
      <c r="EB10" s="43">
        <v>129</v>
      </c>
      <c r="EC10" s="43">
        <v>130</v>
      </c>
      <c r="ED10" s="43">
        <v>131</v>
      </c>
      <c r="EE10" s="43">
        <v>132</v>
      </c>
      <c r="EF10" s="43">
        <v>133</v>
      </c>
      <c r="EG10" s="43">
        <v>134</v>
      </c>
      <c r="EH10" s="43">
        <v>135</v>
      </c>
      <c r="EI10" s="43">
        <v>136</v>
      </c>
      <c r="EJ10" s="43">
        <v>137</v>
      </c>
      <c r="EK10" s="43">
        <v>138</v>
      </c>
      <c r="EL10" s="43">
        <v>139</v>
      </c>
    </row>
    <row r="11" spans="2:142">
      <c r="B11" s="44" t="s">
        <v>80</v>
      </c>
      <c r="C11" s="102">
        <f ca="1">D11-1</f>
        <v>45656</v>
      </c>
      <c r="D11" s="101">
        <f ca="1">OtherAssump!$C$5</f>
        <v>45657</v>
      </c>
      <c r="E11" s="101">
        <f t="shared" ref="E11:AJ11" ca="1" si="0">D11+1</f>
        <v>45658</v>
      </c>
      <c r="F11" s="101">
        <f t="shared" ca="1" si="0"/>
        <v>45659</v>
      </c>
      <c r="G11" s="101">
        <f t="shared" ca="1" si="0"/>
        <v>45660</v>
      </c>
      <c r="H11" s="101">
        <f t="shared" ca="1" si="0"/>
        <v>45661</v>
      </c>
      <c r="I11" s="101">
        <f t="shared" ca="1" si="0"/>
        <v>45662</v>
      </c>
      <c r="J11" s="101">
        <f t="shared" ca="1" si="0"/>
        <v>45663</v>
      </c>
      <c r="K11" s="101">
        <f t="shared" ca="1" si="0"/>
        <v>45664</v>
      </c>
      <c r="L11" s="101">
        <f t="shared" ca="1" si="0"/>
        <v>45665</v>
      </c>
      <c r="M11" s="101">
        <f t="shared" ca="1" si="0"/>
        <v>45666</v>
      </c>
      <c r="N11" s="101">
        <f t="shared" ca="1" si="0"/>
        <v>45667</v>
      </c>
      <c r="O11" s="101">
        <f t="shared" ca="1" si="0"/>
        <v>45668</v>
      </c>
      <c r="P11" s="101">
        <f t="shared" ca="1" si="0"/>
        <v>45669</v>
      </c>
      <c r="Q11" s="101">
        <f t="shared" ca="1" si="0"/>
        <v>45670</v>
      </c>
      <c r="R11" s="101">
        <f t="shared" ca="1" si="0"/>
        <v>45671</v>
      </c>
      <c r="S11" s="101">
        <f t="shared" ca="1" si="0"/>
        <v>45672</v>
      </c>
      <c r="T11" s="101">
        <f t="shared" ca="1" si="0"/>
        <v>45673</v>
      </c>
      <c r="U11" s="101">
        <f t="shared" ca="1" si="0"/>
        <v>45674</v>
      </c>
      <c r="V11" s="101">
        <f t="shared" ca="1" si="0"/>
        <v>45675</v>
      </c>
      <c r="W11" s="101">
        <f t="shared" ca="1" si="0"/>
        <v>45676</v>
      </c>
      <c r="X11" s="101">
        <f t="shared" ca="1" si="0"/>
        <v>45677</v>
      </c>
      <c r="Y11" s="101">
        <f t="shared" ca="1" si="0"/>
        <v>45678</v>
      </c>
      <c r="Z11" s="101">
        <f t="shared" ca="1" si="0"/>
        <v>45679</v>
      </c>
      <c r="AA11" s="101">
        <f t="shared" ca="1" si="0"/>
        <v>45680</v>
      </c>
      <c r="AB11" s="101">
        <f t="shared" ca="1" si="0"/>
        <v>45681</v>
      </c>
      <c r="AC11" s="101">
        <f t="shared" ca="1" si="0"/>
        <v>45682</v>
      </c>
      <c r="AD11" s="101">
        <f t="shared" ca="1" si="0"/>
        <v>45683</v>
      </c>
      <c r="AE11" s="101">
        <f t="shared" ca="1" si="0"/>
        <v>45684</v>
      </c>
      <c r="AF11" s="101">
        <f t="shared" ca="1" si="0"/>
        <v>45685</v>
      </c>
      <c r="AG11" s="101">
        <f t="shared" ca="1" si="0"/>
        <v>45686</v>
      </c>
      <c r="AH11" s="101">
        <f t="shared" ca="1" si="0"/>
        <v>45687</v>
      </c>
      <c r="AI11" s="101">
        <f t="shared" ca="1" si="0"/>
        <v>45688</v>
      </c>
      <c r="AJ11" s="101">
        <f t="shared" ca="1" si="0"/>
        <v>45689</v>
      </c>
      <c r="AK11" s="101">
        <f t="shared" ref="AK11:BP11" ca="1" si="1">AJ11+1</f>
        <v>45690</v>
      </c>
      <c r="AL11" s="101">
        <f t="shared" ca="1" si="1"/>
        <v>45691</v>
      </c>
      <c r="AM11" s="101">
        <f t="shared" ca="1" si="1"/>
        <v>45692</v>
      </c>
      <c r="AN11" s="101">
        <f t="shared" ca="1" si="1"/>
        <v>45693</v>
      </c>
      <c r="AO11" s="101">
        <f t="shared" ca="1" si="1"/>
        <v>45694</v>
      </c>
      <c r="AP11" s="101">
        <f t="shared" ca="1" si="1"/>
        <v>45695</v>
      </c>
      <c r="AQ11" s="101">
        <f t="shared" ca="1" si="1"/>
        <v>45696</v>
      </c>
      <c r="AR11" s="101">
        <f t="shared" ca="1" si="1"/>
        <v>45697</v>
      </c>
      <c r="AS11" s="101">
        <f t="shared" ca="1" si="1"/>
        <v>45698</v>
      </c>
      <c r="AT11" s="101">
        <f t="shared" ca="1" si="1"/>
        <v>45699</v>
      </c>
      <c r="AU11" s="101">
        <f t="shared" ca="1" si="1"/>
        <v>45700</v>
      </c>
      <c r="AV11" s="101">
        <f t="shared" ca="1" si="1"/>
        <v>45701</v>
      </c>
      <c r="AW11" s="101">
        <f t="shared" ca="1" si="1"/>
        <v>45702</v>
      </c>
      <c r="AX11" s="101">
        <f t="shared" ca="1" si="1"/>
        <v>45703</v>
      </c>
      <c r="AY11" s="101">
        <f t="shared" ca="1" si="1"/>
        <v>45704</v>
      </c>
      <c r="AZ11" s="101">
        <f t="shared" ca="1" si="1"/>
        <v>45705</v>
      </c>
      <c r="BA11" s="101">
        <f t="shared" ca="1" si="1"/>
        <v>45706</v>
      </c>
      <c r="BB11" s="101">
        <f t="shared" ca="1" si="1"/>
        <v>45707</v>
      </c>
      <c r="BC11" s="101">
        <f t="shared" ca="1" si="1"/>
        <v>45708</v>
      </c>
      <c r="BD11" s="101">
        <f t="shared" ca="1" si="1"/>
        <v>45709</v>
      </c>
      <c r="BE11" s="101">
        <f t="shared" ca="1" si="1"/>
        <v>45710</v>
      </c>
      <c r="BF11" s="101">
        <f t="shared" ca="1" si="1"/>
        <v>45711</v>
      </c>
      <c r="BG11" s="101">
        <f t="shared" ca="1" si="1"/>
        <v>45712</v>
      </c>
      <c r="BH11" s="101">
        <f t="shared" ca="1" si="1"/>
        <v>45713</v>
      </c>
      <c r="BI11" s="101">
        <f t="shared" ca="1" si="1"/>
        <v>45714</v>
      </c>
      <c r="BJ11" s="101">
        <f t="shared" ca="1" si="1"/>
        <v>45715</v>
      </c>
      <c r="BK11" s="101">
        <f t="shared" ca="1" si="1"/>
        <v>45716</v>
      </c>
      <c r="BL11" s="101">
        <f t="shared" ca="1" si="1"/>
        <v>45717</v>
      </c>
      <c r="BM11" s="101">
        <f t="shared" ca="1" si="1"/>
        <v>45718</v>
      </c>
      <c r="BN11" s="101">
        <f t="shared" ca="1" si="1"/>
        <v>45719</v>
      </c>
      <c r="BO11" s="101">
        <f t="shared" ca="1" si="1"/>
        <v>45720</v>
      </c>
      <c r="BP11" s="101">
        <f t="shared" ca="1" si="1"/>
        <v>45721</v>
      </c>
      <c r="BQ11" s="101">
        <f t="shared" ref="BQ11:CV11" ca="1" si="2">BP11+1</f>
        <v>45722</v>
      </c>
      <c r="BR11" s="101">
        <f t="shared" ca="1" si="2"/>
        <v>45723</v>
      </c>
      <c r="BS11" s="101">
        <f t="shared" ca="1" si="2"/>
        <v>45724</v>
      </c>
      <c r="BT11" s="101">
        <f t="shared" ca="1" si="2"/>
        <v>45725</v>
      </c>
      <c r="BU11" s="101">
        <f t="shared" ca="1" si="2"/>
        <v>45726</v>
      </c>
      <c r="BV11" s="101">
        <f t="shared" ca="1" si="2"/>
        <v>45727</v>
      </c>
      <c r="BW11" s="101">
        <f t="shared" ca="1" si="2"/>
        <v>45728</v>
      </c>
      <c r="BX11" s="101">
        <f t="shared" ca="1" si="2"/>
        <v>45729</v>
      </c>
      <c r="BY11" s="101">
        <f t="shared" ca="1" si="2"/>
        <v>45730</v>
      </c>
      <c r="BZ11" s="101">
        <f t="shared" ca="1" si="2"/>
        <v>45731</v>
      </c>
      <c r="CA11" s="101">
        <f t="shared" ca="1" si="2"/>
        <v>45732</v>
      </c>
      <c r="CB11" s="101">
        <f t="shared" ca="1" si="2"/>
        <v>45733</v>
      </c>
      <c r="CC11" s="101">
        <f t="shared" ca="1" si="2"/>
        <v>45734</v>
      </c>
      <c r="CD11" s="101">
        <f t="shared" ca="1" si="2"/>
        <v>45735</v>
      </c>
      <c r="CE11" s="101">
        <f t="shared" ca="1" si="2"/>
        <v>45736</v>
      </c>
      <c r="CF11" s="101">
        <f t="shared" ca="1" si="2"/>
        <v>45737</v>
      </c>
      <c r="CG11" s="101">
        <f t="shared" ca="1" si="2"/>
        <v>45738</v>
      </c>
      <c r="CH11" s="101">
        <f t="shared" ca="1" si="2"/>
        <v>45739</v>
      </c>
      <c r="CI11" s="101">
        <f t="shared" ca="1" si="2"/>
        <v>45740</v>
      </c>
      <c r="CJ11" s="101">
        <f t="shared" ca="1" si="2"/>
        <v>45741</v>
      </c>
      <c r="CK11" s="101">
        <f t="shared" ca="1" si="2"/>
        <v>45742</v>
      </c>
      <c r="CL11" s="101">
        <f t="shared" ca="1" si="2"/>
        <v>45743</v>
      </c>
      <c r="CM11" s="101">
        <f t="shared" ca="1" si="2"/>
        <v>45744</v>
      </c>
      <c r="CN11" s="101">
        <f t="shared" ca="1" si="2"/>
        <v>45745</v>
      </c>
      <c r="CO11" s="101">
        <f t="shared" ca="1" si="2"/>
        <v>45746</v>
      </c>
      <c r="CP11" s="101">
        <f t="shared" ca="1" si="2"/>
        <v>45747</v>
      </c>
      <c r="CQ11" s="101">
        <f t="shared" ca="1" si="2"/>
        <v>45748</v>
      </c>
      <c r="CR11" s="101">
        <f t="shared" ca="1" si="2"/>
        <v>45749</v>
      </c>
      <c r="CS11" s="101">
        <f t="shared" ca="1" si="2"/>
        <v>45750</v>
      </c>
      <c r="CT11" s="101">
        <f t="shared" ca="1" si="2"/>
        <v>45751</v>
      </c>
      <c r="CU11" s="101">
        <f t="shared" ca="1" si="2"/>
        <v>45752</v>
      </c>
      <c r="CV11" s="101">
        <f t="shared" ca="1" si="2"/>
        <v>45753</v>
      </c>
      <c r="CW11" s="101">
        <f t="shared" ref="CW11:EB11" ca="1" si="3">CV11+1</f>
        <v>45754</v>
      </c>
      <c r="CX11" s="101">
        <f t="shared" ca="1" si="3"/>
        <v>45755</v>
      </c>
      <c r="CY11" s="101">
        <f t="shared" ca="1" si="3"/>
        <v>45756</v>
      </c>
      <c r="CZ11" s="101">
        <f t="shared" ca="1" si="3"/>
        <v>45757</v>
      </c>
      <c r="DA11" s="101">
        <f t="shared" ca="1" si="3"/>
        <v>45758</v>
      </c>
      <c r="DB11" s="101">
        <f t="shared" ca="1" si="3"/>
        <v>45759</v>
      </c>
      <c r="DC11" s="101">
        <f t="shared" ca="1" si="3"/>
        <v>45760</v>
      </c>
      <c r="DD11" s="101">
        <f t="shared" ca="1" si="3"/>
        <v>45761</v>
      </c>
      <c r="DE11" s="101">
        <f t="shared" ca="1" si="3"/>
        <v>45762</v>
      </c>
      <c r="DF11" s="101">
        <f t="shared" ca="1" si="3"/>
        <v>45763</v>
      </c>
      <c r="DG11" s="101">
        <f t="shared" ca="1" si="3"/>
        <v>45764</v>
      </c>
      <c r="DH11" s="101">
        <f t="shared" ca="1" si="3"/>
        <v>45765</v>
      </c>
      <c r="DI11" s="101">
        <f t="shared" ca="1" si="3"/>
        <v>45766</v>
      </c>
      <c r="DJ11" s="101">
        <f t="shared" ca="1" si="3"/>
        <v>45767</v>
      </c>
      <c r="DK11" s="101">
        <f t="shared" ca="1" si="3"/>
        <v>45768</v>
      </c>
      <c r="DL11" s="101">
        <f t="shared" ca="1" si="3"/>
        <v>45769</v>
      </c>
      <c r="DM11" s="101">
        <f t="shared" ca="1" si="3"/>
        <v>45770</v>
      </c>
      <c r="DN11" s="101">
        <f t="shared" ca="1" si="3"/>
        <v>45771</v>
      </c>
      <c r="DO11" s="101">
        <f t="shared" ca="1" si="3"/>
        <v>45772</v>
      </c>
      <c r="DP11" s="101">
        <f t="shared" ca="1" si="3"/>
        <v>45773</v>
      </c>
      <c r="DQ11" s="101">
        <f t="shared" ca="1" si="3"/>
        <v>45774</v>
      </c>
      <c r="DR11" s="101">
        <f t="shared" ca="1" si="3"/>
        <v>45775</v>
      </c>
      <c r="DS11" s="101">
        <f t="shared" ca="1" si="3"/>
        <v>45776</v>
      </c>
      <c r="DT11" s="101">
        <f t="shared" ca="1" si="3"/>
        <v>45777</v>
      </c>
      <c r="DU11" s="101">
        <f t="shared" ca="1" si="3"/>
        <v>45778</v>
      </c>
      <c r="DV11" s="101">
        <f t="shared" ca="1" si="3"/>
        <v>45779</v>
      </c>
      <c r="DW11" s="101">
        <f t="shared" ca="1" si="3"/>
        <v>45780</v>
      </c>
      <c r="DX11" s="101">
        <f t="shared" ca="1" si="3"/>
        <v>45781</v>
      </c>
      <c r="DY11" s="101">
        <f t="shared" ca="1" si="3"/>
        <v>45782</v>
      </c>
      <c r="DZ11" s="101">
        <f t="shared" ca="1" si="3"/>
        <v>45783</v>
      </c>
      <c r="EA11" s="101">
        <f t="shared" ca="1" si="3"/>
        <v>45784</v>
      </c>
      <c r="EB11" s="101">
        <f t="shared" ca="1" si="3"/>
        <v>45785</v>
      </c>
      <c r="EC11" s="101">
        <f t="shared" ref="EC11:EL11" ca="1" si="4">EB11+1</f>
        <v>45786</v>
      </c>
      <c r="ED11" s="101">
        <f t="shared" ca="1" si="4"/>
        <v>45787</v>
      </c>
      <c r="EE11" s="101">
        <f t="shared" ca="1" si="4"/>
        <v>45788</v>
      </c>
      <c r="EF11" s="101">
        <f t="shared" ca="1" si="4"/>
        <v>45789</v>
      </c>
      <c r="EG11" s="101">
        <f t="shared" ca="1" si="4"/>
        <v>45790</v>
      </c>
      <c r="EH11" s="101">
        <f t="shared" ca="1" si="4"/>
        <v>45791</v>
      </c>
      <c r="EI11" s="101">
        <f t="shared" ca="1" si="4"/>
        <v>45792</v>
      </c>
      <c r="EJ11" s="101">
        <f t="shared" ca="1" si="4"/>
        <v>45793</v>
      </c>
      <c r="EK11" s="101">
        <f t="shared" ca="1" si="4"/>
        <v>45794</v>
      </c>
      <c r="EL11" s="101">
        <f t="shared" ca="1" si="4"/>
        <v>45795</v>
      </c>
    </row>
    <row r="12" spans="2:142">
      <c r="B12" s="51" t="s">
        <v>25</v>
      </c>
      <c r="C12" s="48">
        <f t="shared" ref="C12:AH12" ca="1" si="5">C51</f>
        <v>6.7524374723307815E-2</v>
      </c>
      <c r="D12" s="48">
        <f t="shared" ca="1" si="5"/>
        <v>6.9095197587855428E-2</v>
      </c>
      <c r="E12" s="48">
        <f t="shared" ca="1" si="5"/>
        <v>7.1037501719028395E-2</v>
      </c>
      <c r="F12" s="48">
        <f t="shared" ca="1" si="5"/>
        <v>7.2476579022261844E-2</v>
      </c>
      <c r="G12" s="48">
        <f t="shared" ca="1" si="5"/>
        <v>7.4243368231740797E-2</v>
      </c>
      <c r="H12" s="48">
        <f t="shared" ca="1" si="5"/>
        <v>7.4022755206741786E-2</v>
      </c>
      <c r="I12" s="48">
        <f t="shared" ca="1" si="5"/>
        <v>7.4260784736391541E-2</v>
      </c>
      <c r="J12" s="48">
        <f t="shared" ca="1" si="5"/>
        <v>7.4205213850221788E-2</v>
      </c>
      <c r="K12" s="48">
        <f t="shared" ca="1" si="5"/>
        <v>7.4069611650763062E-2</v>
      </c>
      <c r="L12" s="48">
        <f t="shared" ca="1" si="5"/>
        <v>7.4455548426391224E-2</v>
      </c>
      <c r="M12" s="48">
        <f t="shared" ca="1" si="5"/>
        <v>7.4176948521377017E-2</v>
      </c>
      <c r="N12" s="48">
        <f t="shared" ca="1" si="5"/>
        <v>7.4220957996069245E-2</v>
      </c>
      <c r="O12" s="48">
        <f t="shared" ca="1" si="5"/>
        <v>7.4366337424715254E-2</v>
      </c>
      <c r="P12" s="48">
        <f t="shared" ca="1" si="5"/>
        <v>7.4463489608068839E-2</v>
      </c>
      <c r="Q12" s="48">
        <f t="shared" ca="1" si="5"/>
        <v>7.4516551849549542E-2</v>
      </c>
      <c r="R12" s="48">
        <f t="shared" ca="1" si="5"/>
        <v>7.4530280353002423E-2</v>
      </c>
      <c r="S12" s="48">
        <f t="shared" ca="1" si="5"/>
        <v>7.4504557497937413E-2</v>
      </c>
      <c r="T12" s="48">
        <f t="shared" ca="1" si="5"/>
        <v>7.4443937597271595E-2</v>
      </c>
      <c r="U12" s="48">
        <f t="shared" ca="1" si="5"/>
        <v>7.4371791681995175E-2</v>
      </c>
      <c r="V12" s="48">
        <f t="shared" ca="1" si="5"/>
        <v>7.4280088497367211E-2</v>
      </c>
      <c r="W12" s="48">
        <f t="shared" ca="1" si="5"/>
        <v>7.4167417788431361E-2</v>
      </c>
      <c r="X12" s="48">
        <f t="shared" ca="1" si="5"/>
        <v>7.4040810862014472E-2</v>
      </c>
      <c r="Y12" s="48">
        <f t="shared" ca="1" si="5"/>
        <v>7.3934738342518458E-2</v>
      </c>
      <c r="Z12" s="48">
        <f t="shared" ca="1" si="5"/>
        <v>7.3842988776060201E-2</v>
      </c>
      <c r="AA12" s="48">
        <f t="shared" ca="1" si="5"/>
        <v>7.3773398640134588E-2</v>
      </c>
      <c r="AB12" s="48">
        <f t="shared" ca="1" si="5"/>
        <v>7.3720027984633604E-2</v>
      </c>
      <c r="AC12" s="48">
        <f t="shared" ca="1" si="5"/>
        <v>7.3693370869724856E-2</v>
      </c>
      <c r="AD12" s="48">
        <f t="shared" ca="1" si="5"/>
        <v>7.3672246968452246E-2</v>
      </c>
      <c r="AE12" s="48">
        <f t="shared" ca="1" si="5"/>
        <v>7.3647974380161199E-2</v>
      </c>
      <c r="AF12" s="48">
        <f t="shared" ca="1" si="5"/>
        <v>7.3634754986688949E-2</v>
      </c>
      <c r="AG12" s="48">
        <f t="shared" ca="1" si="5"/>
        <v>7.3686056611242098E-2</v>
      </c>
      <c r="AH12" s="48">
        <f t="shared" ca="1" si="5"/>
        <v>7.3684733888040019E-2</v>
      </c>
      <c r="AI12" s="48">
        <f t="shared" ref="AI12:BN12" ca="1" si="6">AI51</f>
        <v>7.3865965825987132E-2</v>
      </c>
      <c r="AJ12" s="48">
        <f t="shared" ca="1" si="6"/>
        <v>7.4046955803814776E-2</v>
      </c>
      <c r="AK12" s="48">
        <f t="shared" ca="1" si="6"/>
        <v>7.4227958133969207E-2</v>
      </c>
      <c r="AL12" s="48">
        <f t="shared" ca="1" si="6"/>
        <v>7.4409100141981654E-2</v>
      </c>
      <c r="AM12" s="48">
        <f t="shared" ca="1" si="6"/>
        <v>7.4597203298062756E-2</v>
      </c>
      <c r="AN12" s="48">
        <f t="shared" ca="1" si="6"/>
        <v>7.4779467535867519E-2</v>
      </c>
      <c r="AO12" s="48">
        <f t="shared" ca="1" si="6"/>
        <v>7.4961217602366848E-2</v>
      </c>
      <c r="AP12" s="48">
        <f t="shared" ca="1" si="6"/>
        <v>7.5143860230575968E-2</v>
      </c>
      <c r="AQ12" s="48">
        <f t="shared" ca="1" si="6"/>
        <v>7.5325929316119214E-2</v>
      </c>
      <c r="AR12" s="48">
        <f t="shared" ca="1" si="6"/>
        <v>7.5507960594136211E-2</v>
      </c>
      <c r="AS12" s="48">
        <f t="shared" ca="1" si="6"/>
        <v>7.5508250702771382E-2</v>
      </c>
      <c r="AT12" s="48">
        <f t="shared" ca="1" si="6"/>
        <v>7.5508948320995112E-2</v>
      </c>
      <c r="AU12" s="48">
        <f t="shared" ca="1" si="6"/>
        <v>7.5509036698952384E-2</v>
      </c>
      <c r="AV12" s="48">
        <f t="shared" ca="1" si="6"/>
        <v>7.55093095262592E-2</v>
      </c>
      <c r="AW12" s="48">
        <f t="shared" ca="1" si="6"/>
        <v>7.550964606923434E-2</v>
      </c>
      <c r="AX12" s="48">
        <f t="shared" ca="1" si="6"/>
        <v>7.5509976106389057E-2</v>
      </c>
      <c r="AY12" s="48">
        <f t="shared" ca="1" si="6"/>
        <v>7.5524174110107839E-2</v>
      </c>
      <c r="AZ12" s="48">
        <f t="shared" ca="1" si="6"/>
        <v>7.5524174110107839E-2</v>
      </c>
      <c r="BA12" s="48">
        <f t="shared" ca="1" si="6"/>
        <v>7.5524174110107839E-2</v>
      </c>
      <c r="BB12" s="48">
        <f t="shared" ca="1" si="6"/>
        <v>7.5524174110107839E-2</v>
      </c>
      <c r="BC12" s="48">
        <f t="shared" ca="1" si="6"/>
        <v>7.5524174110107839E-2</v>
      </c>
      <c r="BD12" s="48">
        <f t="shared" ca="1" si="6"/>
        <v>7.5524174110107839E-2</v>
      </c>
      <c r="BE12" s="48">
        <f t="shared" ca="1" si="6"/>
        <v>7.5524174110107839E-2</v>
      </c>
      <c r="BF12" s="48">
        <f t="shared" ca="1" si="6"/>
        <v>7.5524174110107839E-2</v>
      </c>
      <c r="BG12" s="48">
        <f t="shared" ca="1" si="6"/>
        <v>7.5524174110107839E-2</v>
      </c>
      <c r="BH12" s="48">
        <f t="shared" ca="1" si="6"/>
        <v>7.5524174110107839E-2</v>
      </c>
      <c r="BI12" s="48">
        <f t="shared" ca="1" si="6"/>
        <v>7.5524174110107839E-2</v>
      </c>
      <c r="BJ12" s="48">
        <f t="shared" ca="1" si="6"/>
        <v>7.5524174110107839E-2</v>
      </c>
      <c r="BK12" s="48">
        <f t="shared" ca="1" si="6"/>
        <v>7.5524174110107839E-2</v>
      </c>
      <c r="BL12" s="48">
        <f t="shared" ca="1" si="6"/>
        <v>7.5524174110107839E-2</v>
      </c>
      <c r="BM12" s="48">
        <f t="shared" ca="1" si="6"/>
        <v>7.5524174110107839E-2</v>
      </c>
      <c r="BN12" s="48">
        <f t="shared" ca="1" si="6"/>
        <v>7.5524174110107839E-2</v>
      </c>
      <c r="BO12" s="48">
        <f t="shared" ref="BO12:CT12" ca="1" si="7">BO51</f>
        <v>7.5524174110107839E-2</v>
      </c>
      <c r="BP12" s="48">
        <f t="shared" ca="1" si="7"/>
        <v>7.5524174110107839E-2</v>
      </c>
      <c r="BQ12" s="48">
        <f t="shared" ca="1" si="7"/>
        <v>7.5524174110107839E-2</v>
      </c>
      <c r="BR12" s="48">
        <f t="shared" ca="1" si="7"/>
        <v>7.5524174110107839E-2</v>
      </c>
      <c r="BS12" s="48">
        <f t="shared" ca="1" si="7"/>
        <v>7.5524174110107839E-2</v>
      </c>
      <c r="BT12" s="48">
        <f t="shared" ca="1" si="7"/>
        <v>7.5524174110107839E-2</v>
      </c>
      <c r="BU12" s="48">
        <f t="shared" ca="1" si="7"/>
        <v>7.5524174110107839E-2</v>
      </c>
      <c r="BV12" s="48">
        <f t="shared" ca="1" si="7"/>
        <v>7.5524174110107839E-2</v>
      </c>
      <c r="BW12" s="48">
        <f t="shared" ca="1" si="7"/>
        <v>7.5524174110107839E-2</v>
      </c>
      <c r="BX12" s="48">
        <f t="shared" ca="1" si="7"/>
        <v>7.5524174110107839E-2</v>
      </c>
      <c r="BY12" s="48">
        <f t="shared" ca="1" si="7"/>
        <v>7.5524174110107839E-2</v>
      </c>
      <c r="BZ12" s="48">
        <f t="shared" ca="1" si="7"/>
        <v>7.5524174110107839E-2</v>
      </c>
      <c r="CA12" s="48">
        <f t="shared" ca="1" si="7"/>
        <v>7.5524174110107839E-2</v>
      </c>
      <c r="CB12" s="48">
        <f t="shared" ca="1" si="7"/>
        <v>7.5524174110107839E-2</v>
      </c>
      <c r="CC12" s="48">
        <f t="shared" ca="1" si="7"/>
        <v>7.5524174110107839E-2</v>
      </c>
      <c r="CD12" s="48">
        <f t="shared" ca="1" si="7"/>
        <v>7.5524174110107839E-2</v>
      </c>
      <c r="CE12" s="48">
        <f t="shared" ca="1" si="7"/>
        <v>7.5524174110107839E-2</v>
      </c>
      <c r="CF12" s="48">
        <f t="shared" ca="1" si="7"/>
        <v>7.5524174110107839E-2</v>
      </c>
      <c r="CG12" s="48">
        <f t="shared" ca="1" si="7"/>
        <v>7.5524174110107839E-2</v>
      </c>
      <c r="CH12" s="48">
        <f t="shared" ca="1" si="7"/>
        <v>7.5524174110107839E-2</v>
      </c>
      <c r="CI12" s="48">
        <f t="shared" ca="1" si="7"/>
        <v>7.5524174110107839E-2</v>
      </c>
      <c r="CJ12" s="48">
        <f t="shared" ca="1" si="7"/>
        <v>7.5524174110107839E-2</v>
      </c>
      <c r="CK12" s="48">
        <f t="shared" ca="1" si="7"/>
        <v>7.5524174110107839E-2</v>
      </c>
      <c r="CL12" s="48">
        <f t="shared" ca="1" si="7"/>
        <v>7.5524174110107839E-2</v>
      </c>
      <c r="CM12" s="48">
        <f t="shared" ca="1" si="7"/>
        <v>7.5524174110107839E-2</v>
      </c>
      <c r="CN12" s="48">
        <f t="shared" ca="1" si="7"/>
        <v>7.5524174110107839E-2</v>
      </c>
      <c r="CO12" s="48">
        <f t="shared" ca="1" si="7"/>
        <v>7.5524174110107839E-2</v>
      </c>
      <c r="CP12" s="48">
        <f t="shared" ca="1" si="7"/>
        <v>7.5524174110107839E-2</v>
      </c>
      <c r="CQ12" s="48">
        <f t="shared" ca="1" si="7"/>
        <v>7.5524174110107839E-2</v>
      </c>
      <c r="CR12" s="48">
        <f t="shared" ca="1" si="7"/>
        <v>7.5524174110107839E-2</v>
      </c>
      <c r="CS12" s="48">
        <f t="shared" ca="1" si="7"/>
        <v>7.5524174110107839E-2</v>
      </c>
      <c r="CT12" s="48">
        <f t="shared" ca="1" si="7"/>
        <v>7.5524174110107839E-2</v>
      </c>
      <c r="CU12" s="48">
        <f t="shared" ref="CU12:DZ12" ca="1" si="8">CU51</f>
        <v>7.5524174110107839E-2</v>
      </c>
      <c r="CV12" s="48">
        <f t="shared" ca="1" si="8"/>
        <v>7.5524174110107839E-2</v>
      </c>
      <c r="CW12" s="48">
        <f t="shared" ca="1" si="8"/>
        <v>7.5524174110107839E-2</v>
      </c>
      <c r="CX12" s="48">
        <f t="shared" ca="1" si="8"/>
        <v>7.5524174110107839E-2</v>
      </c>
      <c r="CY12" s="48">
        <f t="shared" ca="1" si="8"/>
        <v>7.5524174110107839E-2</v>
      </c>
      <c r="CZ12" s="48">
        <f t="shared" ca="1" si="8"/>
        <v>7.5524174110107839E-2</v>
      </c>
      <c r="DA12" s="48">
        <f t="shared" ca="1" si="8"/>
        <v>7.5524174110107839E-2</v>
      </c>
      <c r="DB12" s="48">
        <f t="shared" ca="1" si="8"/>
        <v>7.5524174110107839E-2</v>
      </c>
      <c r="DC12" s="48">
        <f t="shared" ca="1" si="8"/>
        <v>7.5524174110107839E-2</v>
      </c>
      <c r="DD12" s="48">
        <f t="shared" ca="1" si="8"/>
        <v>7.5524174110107839E-2</v>
      </c>
      <c r="DE12" s="48">
        <f t="shared" ca="1" si="8"/>
        <v>7.5524174110107839E-2</v>
      </c>
      <c r="DF12" s="48">
        <f t="shared" ca="1" si="8"/>
        <v>7.5524174110107839E-2</v>
      </c>
      <c r="DG12" s="48">
        <f t="shared" ca="1" si="8"/>
        <v>7.5524174110107839E-2</v>
      </c>
      <c r="DH12" s="48">
        <f t="shared" ca="1" si="8"/>
        <v>7.5524174110107839E-2</v>
      </c>
      <c r="DI12" s="48">
        <f t="shared" ca="1" si="8"/>
        <v>7.5524174110107839E-2</v>
      </c>
      <c r="DJ12" s="48">
        <f t="shared" ca="1" si="8"/>
        <v>7.5524174110107839E-2</v>
      </c>
      <c r="DK12" s="48">
        <f t="shared" ca="1" si="8"/>
        <v>7.5524174110107839E-2</v>
      </c>
      <c r="DL12" s="48">
        <f t="shared" ca="1" si="8"/>
        <v>7.5524174110107839E-2</v>
      </c>
      <c r="DM12" s="48">
        <f t="shared" ca="1" si="8"/>
        <v>7.5524174110107839E-2</v>
      </c>
      <c r="DN12" s="48">
        <f t="shared" ca="1" si="8"/>
        <v>7.5524174110107839E-2</v>
      </c>
      <c r="DO12" s="48">
        <f t="shared" ca="1" si="8"/>
        <v>7.5524174110107839E-2</v>
      </c>
      <c r="DP12" s="48">
        <f t="shared" ca="1" si="8"/>
        <v>7.5524174110107839E-2</v>
      </c>
      <c r="DQ12" s="48">
        <f t="shared" ca="1" si="8"/>
        <v>7.5524174110107839E-2</v>
      </c>
      <c r="DR12" s="48">
        <f t="shared" ca="1" si="8"/>
        <v>7.5524174110107839E-2</v>
      </c>
      <c r="DS12" s="48">
        <f t="shared" ca="1" si="8"/>
        <v>7.5524174110107839E-2</v>
      </c>
      <c r="DT12" s="48">
        <f t="shared" ca="1" si="8"/>
        <v>7.5524174110107839E-2</v>
      </c>
      <c r="DU12" s="48">
        <f t="shared" ca="1" si="8"/>
        <v>7.5524174110107839E-2</v>
      </c>
      <c r="DV12" s="48">
        <f t="shared" ca="1" si="8"/>
        <v>7.5524174110107839E-2</v>
      </c>
      <c r="DW12" s="48">
        <f t="shared" ca="1" si="8"/>
        <v>7.5524174110107839E-2</v>
      </c>
      <c r="DX12" s="48">
        <f t="shared" ca="1" si="8"/>
        <v>7.5524174110107839E-2</v>
      </c>
      <c r="DY12" s="48">
        <f t="shared" ca="1" si="8"/>
        <v>7.5524174110107839E-2</v>
      </c>
      <c r="DZ12" s="48">
        <f t="shared" ca="1" si="8"/>
        <v>7.5524174110107839E-2</v>
      </c>
      <c r="EA12" s="48">
        <f t="shared" ref="EA12:EL12" ca="1" si="9">EA51</f>
        <v>7.5524174110107839E-2</v>
      </c>
      <c r="EB12" s="48">
        <f t="shared" ca="1" si="9"/>
        <v>7.5524174110107839E-2</v>
      </c>
      <c r="EC12" s="48">
        <f t="shared" ca="1" si="9"/>
        <v>7.5524174110107839E-2</v>
      </c>
      <c r="ED12" s="48">
        <f t="shared" ca="1" si="9"/>
        <v>7.5524174110107839E-2</v>
      </c>
      <c r="EE12" s="48">
        <f t="shared" ca="1" si="9"/>
        <v>7.5524174110107839E-2</v>
      </c>
      <c r="EF12" s="48">
        <f t="shared" ca="1" si="9"/>
        <v>7.5524174110107839E-2</v>
      </c>
      <c r="EG12" s="48">
        <f t="shared" ca="1" si="9"/>
        <v>7.5524174110107839E-2</v>
      </c>
      <c r="EH12" s="48">
        <f t="shared" ca="1" si="9"/>
        <v>7.5524174110107839E-2</v>
      </c>
      <c r="EI12" s="48">
        <f t="shared" ca="1" si="9"/>
        <v>7.5524174110107839E-2</v>
      </c>
      <c r="EJ12" s="48">
        <f t="shared" ca="1" si="9"/>
        <v>7.5524174110107839E-2</v>
      </c>
      <c r="EK12" s="48">
        <f t="shared" ca="1" si="9"/>
        <v>7.5524174110107839E-2</v>
      </c>
      <c r="EL12" s="48">
        <f t="shared" ca="1" si="9"/>
        <v>7.5524174110107839E-2</v>
      </c>
    </row>
    <row r="13" spans="2:142">
      <c r="B13" s="36" t="s">
        <v>79</v>
      </c>
      <c r="C13" s="100">
        <f ca="1">C12-'[1]3.2.2 Yield Curve_USD'!K35</f>
        <v>0</v>
      </c>
      <c r="D13" s="100">
        <f ca="1">D12-'[1]3.2.2 Yield Curve_USD'!L35</f>
        <v>0</v>
      </c>
      <c r="E13" s="100">
        <f ca="1">E12-'[1]3.2.2 Yield Curve_USD'!M35</f>
        <v>0</v>
      </c>
      <c r="F13" s="100">
        <f ca="1">F12-'[1]3.2.2 Yield Curve_USD'!N35</f>
        <v>0</v>
      </c>
      <c r="G13" s="100">
        <f ca="1">G12-'[1]3.2.2 Yield Curve_USD'!O35</f>
        <v>0</v>
      </c>
      <c r="H13" s="100">
        <f ca="1">H12-'[1]3.2.2 Yield Curve_USD'!P35</f>
        <v>0</v>
      </c>
      <c r="I13" s="100">
        <f ca="1">I12-'[1]3.2.2 Yield Curve_USD'!Q35</f>
        <v>0</v>
      </c>
      <c r="J13" s="100">
        <f ca="1">J12-'[1]3.2.2 Yield Curve_USD'!R35</f>
        <v>0</v>
      </c>
      <c r="K13" s="100">
        <f ca="1">K12-'[1]3.2.2 Yield Curve_USD'!S35</f>
        <v>0</v>
      </c>
      <c r="L13" s="100">
        <f ca="1">L12-'[1]3.2.2 Yield Curve_USD'!T35</f>
        <v>0</v>
      </c>
      <c r="M13" s="100">
        <f ca="1">M12-'[1]3.2.2 Yield Curve_USD'!U35</f>
        <v>0</v>
      </c>
      <c r="N13" s="100">
        <f ca="1">N12-'[1]3.2.2 Yield Curve_USD'!V35</f>
        <v>0</v>
      </c>
      <c r="O13" s="100">
        <f ca="1">O12-'[1]3.2.2 Yield Curve_USD'!W35</f>
        <v>0</v>
      </c>
      <c r="P13" s="100">
        <f ca="1">P12-'[1]3.2.2 Yield Curve_USD'!X35</f>
        <v>0</v>
      </c>
      <c r="Q13" s="100">
        <f ca="1">Q12-'[1]3.2.2 Yield Curve_USD'!Y35</f>
        <v>0</v>
      </c>
      <c r="R13" s="100">
        <f ca="1">R12-'[1]3.2.2 Yield Curve_USD'!Z35</f>
        <v>0</v>
      </c>
      <c r="S13" s="100">
        <f ca="1">S12-'[1]3.2.2 Yield Curve_USD'!AA35</f>
        <v>0</v>
      </c>
      <c r="T13" s="100">
        <f ca="1">T12-'[1]3.2.2 Yield Curve_USD'!AB35</f>
        <v>0</v>
      </c>
      <c r="U13" s="100">
        <f ca="1">U12-'[1]3.2.2 Yield Curve_USD'!AC35</f>
        <v>0</v>
      </c>
      <c r="V13" s="100">
        <f ca="1">V12-'[1]3.2.2 Yield Curve_USD'!AD35</f>
        <v>0</v>
      </c>
      <c r="W13" s="100">
        <f ca="1">W12-'[1]3.2.2 Yield Curve_USD'!AE35</f>
        <v>0</v>
      </c>
      <c r="X13" s="100">
        <f ca="1">X12-'[1]3.2.2 Yield Curve_USD'!AF35</f>
        <v>0</v>
      </c>
      <c r="Y13" s="100">
        <f ca="1">Y12-'[1]3.2.2 Yield Curve_USD'!AG35</f>
        <v>0</v>
      </c>
      <c r="Z13" s="100">
        <f ca="1">Z12-'[1]3.2.2 Yield Curve_USD'!AH35</f>
        <v>0</v>
      </c>
      <c r="AA13" s="100">
        <f ca="1">AA12-'[1]3.2.2 Yield Curve_USD'!AI35</f>
        <v>0</v>
      </c>
      <c r="AB13" s="100">
        <f ca="1">AB12-'[1]3.2.2 Yield Curve_USD'!AJ35</f>
        <v>0</v>
      </c>
      <c r="AC13" s="100">
        <f ca="1">AC12-'[1]3.2.2 Yield Curve_USD'!AK35</f>
        <v>0</v>
      </c>
      <c r="AD13" s="100">
        <f ca="1">AD12-'[1]3.2.2 Yield Curve_USD'!AL35</f>
        <v>0</v>
      </c>
      <c r="AE13" s="100">
        <f ca="1">AE12-'[1]3.2.2 Yield Curve_USD'!AM35</f>
        <v>0</v>
      </c>
      <c r="AF13" s="100">
        <f ca="1">AF12-'[1]3.2.2 Yield Curve_USD'!AN35</f>
        <v>0</v>
      </c>
      <c r="AG13" s="100">
        <f ca="1">AG12-'[1]3.2.2 Yield Curve_USD'!AO35</f>
        <v>0</v>
      </c>
      <c r="AH13" s="100">
        <f ca="1">AH12-'[1]3.2.2 Yield Curve_USD'!AP35</f>
        <v>0</v>
      </c>
      <c r="AI13" s="100">
        <f ca="1">AI12-'[1]3.2.2 Yield Curve_USD'!AQ35</f>
        <v>0</v>
      </c>
      <c r="AJ13" s="100">
        <f ca="1">AJ12-'[1]3.2.2 Yield Curve_USD'!AR35</f>
        <v>0</v>
      </c>
      <c r="AK13" s="100">
        <f ca="1">AK12-'[1]3.2.2 Yield Curve_USD'!AS35</f>
        <v>0</v>
      </c>
      <c r="AL13" s="100">
        <f ca="1">AL12-'[1]3.2.2 Yield Curve_USD'!AT35</f>
        <v>0</v>
      </c>
      <c r="AM13" s="100">
        <f ca="1">AM12-'[1]3.2.2 Yield Curve_USD'!AU35</f>
        <v>0</v>
      </c>
      <c r="AN13" s="100">
        <f ca="1">AN12-'[1]3.2.2 Yield Curve_USD'!AV35</f>
        <v>0</v>
      </c>
      <c r="AO13" s="100">
        <f ca="1">AO12-'[1]3.2.2 Yield Curve_USD'!AW35</f>
        <v>0</v>
      </c>
      <c r="AP13" s="100">
        <f ca="1">AP12-'[1]3.2.2 Yield Curve_USD'!AX35</f>
        <v>0</v>
      </c>
      <c r="AQ13" s="100">
        <f ca="1">AQ12-'[1]3.2.2 Yield Curve_USD'!AY35</f>
        <v>0</v>
      </c>
      <c r="AR13" s="100">
        <f ca="1">AR12-'[1]3.2.2 Yield Curve_USD'!AZ35</f>
        <v>0</v>
      </c>
      <c r="AS13" s="100">
        <f ca="1">AS12-'[1]3.2.2 Yield Curve_USD'!BA35</f>
        <v>0</v>
      </c>
      <c r="AT13" s="100">
        <f ca="1">AT12-'[1]3.2.2 Yield Curve_USD'!BB35</f>
        <v>0</v>
      </c>
      <c r="AU13" s="100">
        <f ca="1">AU12-'[1]3.2.2 Yield Curve_USD'!BC35</f>
        <v>0</v>
      </c>
      <c r="AV13" s="100">
        <f ca="1">AV12-'[1]3.2.2 Yield Curve_USD'!BD35</f>
        <v>0</v>
      </c>
      <c r="AW13" s="100">
        <f ca="1">AW12-'[1]3.2.2 Yield Curve_USD'!BE35</f>
        <v>0</v>
      </c>
      <c r="AX13" s="100">
        <f ca="1">AX12-'[1]3.2.2 Yield Curve_USD'!BF35</f>
        <v>0</v>
      </c>
      <c r="AY13" s="100">
        <f ca="1">AY12-'[1]3.2.2 Yield Curve_USD'!BG35</f>
        <v>0</v>
      </c>
      <c r="AZ13" s="100">
        <f ca="1">AZ12-'[1]3.2.2 Yield Curve_USD'!BH35</f>
        <v>0</v>
      </c>
      <c r="BA13" s="100">
        <f ca="1">BA12-'[1]3.2.2 Yield Curve_USD'!BI35</f>
        <v>0</v>
      </c>
      <c r="BB13" s="100">
        <f ca="1">BB12-'[1]3.2.2 Yield Curve_USD'!BJ35</f>
        <v>0</v>
      </c>
      <c r="BC13" s="100">
        <f ca="1">BC12-'[1]3.2.2 Yield Curve_USD'!BK35</f>
        <v>0</v>
      </c>
      <c r="BD13" s="100">
        <f ca="1">BD12-'[1]3.2.2 Yield Curve_USD'!BL35</f>
        <v>0</v>
      </c>
      <c r="BE13" s="100">
        <f ca="1">BE12-'[1]3.2.2 Yield Curve_USD'!BM35</f>
        <v>0</v>
      </c>
      <c r="BF13" s="100">
        <f ca="1">BF12-'[1]3.2.2 Yield Curve_USD'!BN35</f>
        <v>0</v>
      </c>
      <c r="BG13" s="100">
        <f ca="1">BG12-'[1]3.2.2 Yield Curve_USD'!BO35</f>
        <v>0</v>
      </c>
      <c r="BH13" s="100">
        <f ca="1">BH12-'[1]3.2.2 Yield Curve_USD'!BP35</f>
        <v>0</v>
      </c>
      <c r="BI13" s="100">
        <f ca="1">BI12-'[1]3.2.2 Yield Curve_USD'!BQ35</f>
        <v>0</v>
      </c>
      <c r="BJ13" s="100">
        <f ca="1">BJ12-'[1]3.2.2 Yield Curve_USD'!BR35</f>
        <v>0</v>
      </c>
      <c r="BK13" s="100">
        <f ca="1">BK12-'[1]3.2.2 Yield Curve_USD'!BS35</f>
        <v>0</v>
      </c>
      <c r="BL13" s="100">
        <f ca="1">BL12-'[1]3.2.2 Yield Curve_USD'!BT35</f>
        <v>0</v>
      </c>
      <c r="BM13" s="100">
        <f ca="1">BM12-'[1]3.2.2 Yield Curve_USD'!BU35</f>
        <v>0</v>
      </c>
      <c r="BN13" s="100">
        <f ca="1">BN12-'[1]3.2.2 Yield Curve_USD'!BV35</f>
        <v>0</v>
      </c>
      <c r="BO13" s="100">
        <f ca="1">BO12-'[1]3.2.2 Yield Curve_USD'!BW35</f>
        <v>0</v>
      </c>
      <c r="BP13" s="100">
        <f ca="1">BP12-'[1]3.2.2 Yield Curve_USD'!BX35</f>
        <v>0</v>
      </c>
      <c r="BQ13" s="100">
        <f ca="1">BQ12-'[1]3.2.2 Yield Curve_USD'!BY35</f>
        <v>0</v>
      </c>
      <c r="BR13" s="100">
        <f ca="1">BR12-'[1]3.2.2 Yield Curve_USD'!BZ35</f>
        <v>0</v>
      </c>
      <c r="BS13" s="100">
        <f ca="1">BS12-'[1]3.2.2 Yield Curve_USD'!CA35</f>
        <v>0</v>
      </c>
      <c r="BT13" s="100">
        <f ca="1">BT12-'[1]3.2.2 Yield Curve_USD'!CB35</f>
        <v>0</v>
      </c>
      <c r="BU13" s="100">
        <f ca="1">BU12-'[1]3.2.2 Yield Curve_USD'!CC35</f>
        <v>0</v>
      </c>
      <c r="BV13" s="100">
        <f ca="1">BV12-'[1]3.2.2 Yield Curve_USD'!CD35</f>
        <v>0</v>
      </c>
      <c r="BW13" s="100">
        <f ca="1">BW12-'[1]3.2.2 Yield Curve_USD'!CE35</f>
        <v>0</v>
      </c>
      <c r="BX13" s="100">
        <f ca="1">BX12-'[1]3.2.2 Yield Curve_USD'!CF35</f>
        <v>0</v>
      </c>
      <c r="BY13" s="100">
        <f ca="1">BY12-'[1]3.2.2 Yield Curve_USD'!CG35</f>
        <v>0</v>
      </c>
      <c r="BZ13" s="100">
        <f ca="1">BZ12-'[1]3.2.2 Yield Curve_USD'!CH35</f>
        <v>0</v>
      </c>
      <c r="CA13" s="100">
        <f ca="1">CA12-'[1]3.2.2 Yield Curve_USD'!CI35</f>
        <v>0</v>
      </c>
      <c r="CB13" s="100">
        <f ca="1">CB12-'[1]3.2.2 Yield Curve_USD'!CJ35</f>
        <v>0</v>
      </c>
      <c r="CC13" s="100">
        <f ca="1">CC12-'[1]3.2.2 Yield Curve_USD'!CK35</f>
        <v>0</v>
      </c>
      <c r="CD13" s="100">
        <f ca="1">CD12-'[1]3.2.2 Yield Curve_USD'!CL35</f>
        <v>0</v>
      </c>
      <c r="CE13" s="100">
        <f ca="1">CE12-'[1]3.2.2 Yield Curve_USD'!CM35</f>
        <v>0</v>
      </c>
      <c r="CF13" s="100">
        <f ca="1">CF12-'[1]3.2.2 Yield Curve_USD'!CN35</f>
        <v>0</v>
      </c>
      <c r="CG13" s="100">
        <f ca="1">CG12-'[1]3.2.2 Yield Curve_USD'!CO35</f>
        <v>0</v>
      </c>
      <c r="CH13" s="100">
        <f ca="1">CH12-'[1]3.2.2 Yield Curve_USD'!CP35</f>
        <v>0</v>
      </c>
      <c r="CI13" s="100">
        <f ca="1">CI12-'[1]3.2.2 Yield Curve_USD'!CQ35</f>
        <v>0</v>
      </c>
      <c r="CJ13" s="100">
        <f ca="1">CJ12-'[1]3.2.2 Yield Curve_USD'!CR35</f>
        <v>0</v>
      </c>
      <c r="CK13" s="100">
        <f ca="1">CK12-'[1]3.2.2 Yield Curve_USD'!CS35</f>
        <v>0</v>
      </c>
      <c r="CL13" s="100">
        <f ca="1">CL12-'[1]3.2.2 Yield Curve_USD'!CT35</f>
        <v>0</v>
      </c>
      <c r="CM13" s="100">
        <f ca="1">CM12-'[1]3.2.2 Yield Curve_USD'!CU35</f>
        <v>0</v>
      </c>
      <c r="CN13" s="100">
        <f ca="1">CN12-'[1]3.2.2 Yield Curve_USD'!CV35</f>
        <v>0</v>
      </c>
      <c r="CO13" s="100">
        <f ca="1">CO12-'[1]3.2.2 Yield Curve_USD'!CW35</f>
        <v>0</v>
      </c>
      <c r="CP13" s="100">
        <f ca="1">CP12-'[1]3.2.2 Yield Curve_USD'!CX35</f>
        <v>0</v>
      </c>
      <c r="CQ13" s="100">
        <f ca="1">CQ12-'[1]3.2.2 Yield Curve_USD'!CY35</f>
        <v>0</v>
      </c>
      <c r="CR13" s="100">
        <f ca="1">CR12-'[1]3.2.2 Yield Curve_USD'!CZ35</f>
        <v>0</v>
      </c>
      <c r="CS13" s="100">
        <f ca="1">CS12-'[1]3.2.2 Yield Curve_USD'!DA35</f>
        <v>0</v>
      </c>
      <c r="CT13" s="100">
        <f ca="1">CT12-'[1]3.2.2 Yield Curve_USD'!DB35</f>
        <v>0</v>
      </c>
      <c r="CU13" s="100">
        <f ca="1">CU12-'[1]3.2.2 Yield Curve_USD'!DC35</f>
        <v>0</v>
      </c>
      <c r="CV13" s="100">
        <f ca="1">CV12-'[1]3.2.2 Yield Curve_USD'!DD35</f>
        <v>0</v>
      </c>
      <c r="CW13" s="100">
        <f ca="1">CW12-'[1]3.2.2 Yield Curve_USD'!DE35</f>
        <v>0</v>
      </c>
      <c r="CX13" s="100">
        <f ca="1">CX12-'[1]3.2.2 Yield Curve_USD'!DF35</f>
        <v>0</v>
      </c>
      <c r="CY13" s="100">
        <f ca="1">CY12-'[1]3.2.2 Yield Curve_USD'!DG35</f>
        <v>0</v>
      </c>
      <c r="CZ13" s="100">
        <f ca="1">CZ12-'[1]3.2.2 Yield Curve_USD'!DH35</f>
        <v>0</v>
      </c>
      <c r="DA13" s="100">
        <f ca="1">DA12-'[1]3.2.2 Yield Curve_USD'!DI35</f>
        <v>0</v>
      </c>
      <c r="DB13" s="100">
        <f ca="1">DB12-'[1]3.2.2 Yield Curve_USD'!DJ35</f>
        <v>0</v>
      </c>
      <c r="DC13" s="100">
        <f ca="1">DC12-'[1]3.2.2 Yield Curve_USD'!DK35</f>
        <v>0</v>
      </c>
      <c r="DD13" s="100">
        <f ca="1">DD12-'[1]3.2.2 Yield Curve_USD'!DL35</f>
        <v>0</v>
      </c>
      <c r="DE13" s="100">
        <f ca="1">DE12-'[1]3.2.2 Yield Curve_USD'!DM35</f>
        <v>0</v>
      </c>
      <c r="DF13" s="100">
        <f ca="1">DF12-'[1]3.2.2 Yield Curve_USD'!DN35</f>
        <v>0</v>
      </c>
      <c r="DG13" s="100">
        <f ca="1">DG12-'[1]3.2.2 Yield Curve_USD'!DO35</f>
        <v>0</v>
      </c>
      <c r="DH13" s="100">
        <f ca="1">DH12-'[1]3.2.2 Yield Curve_USD'!DP35</f>
        <v>0</v>
      </c>
      <c r="DI13" s="100">
        <f ca="1">DI12-'[1]3.2.2 Yield Curve_USD'!DQ35</f>
        <v>0</v>
      </c>
      <c r="DJ13" s="100">
        <f ca="1">DJ12-'[1]3.2.2 Yield Curve_USD'!DR35</f>
        <v>0</v>
      </c>
      <c r="DK13" s="100">
        <f ca="1">DK12-'[1]3.2.2 Yield Curve_USD'!DS35</f>
        <v>0</v>
      </c>
      <c r="DL13" s="100">
        <f ca="1">DL12-'[1]3.2.2 Yield Curve_USD'!DT35</f>
        <v>0</v>
      </c>
      <c r="DM13" s="100">
        <f ca="1">DM12-'[1]3.2.2 Yield Curve_USD'!DU35</f>
        <v>0</v>
      </c>
      <c r="DN13" s="100">
        <f ca="1">DN12-'[1]3.2.2 Yield Curve_USD'!DV35</f>
        <v>0</v>
      </c>
      <c r="DO13" s="100">
        <f ca="1">DO12-'[1]3.2.2 Yield Curve_USD'!DW35</f>
        <v>0</v>
      </c>
      <c r="DP13" s="100">
        <f ca="1">DP12-'[1]3.2.2 Yield Curve_USD'!DX35</f>
        <v>0</v>
      </c>
      <c r="DQ13" s="100">
        <f ca="1">DQ12-'[1]3.2.2 Yield Curve_USD'!DY35</f>
        <v>0</v>
      </c>
      <c r="DR13" s="100">
        <f ca="1">DR12-'[1]3.2.2 Yield Curve_USD'!DZ35</f>
        <v>0</v>
      </c>
      <c r="DS13" s="100">
        <f ca="1">DS12-'[1]3.2.2 Yield Curve_USD'!EA35</f>
        <v>0</v>
      </c>
      <c r="DT13" s="100">
        <f ca="1">DT12-'[1]3.2.2 Yield Curve_USD'!EB35</f>
        <v>0</v>
      </c>
      <c r="DU13" s="100">
        <f ca="1">DU12-'[1]3.2.2 Yield Curve_USD'!EC35</f>
        <v>0</v>
      </c>
      <c r="DV13" s="100">
        <f ca="1">DV12-'[1]3.2.2 Yield Curve_USD'!ED35</f>
        <v>0</v>
      </c>
      <c r="DW13" s="100">
        <f ca="1">DW12-'[1]3.2.2 Yield Curve_USD'!EE35</f>
        <v>0</v>
      </c>
      <c r="DX13" s="100">
        <f ca="1">DX12-'[1]3.2.2 Yield Curve_USD'!EF35</f>
        <v>0</v>
      </c>
      <c r="DY13" s="100">
        <f ca="1">DY12-'[1]3.2.2 Yield Curve_USD'!EG35</f>
        <v>0</v>
      </c>
      <c r="DZ13" s="100">
        <f ca="1">DZ12-'[1]3.2.2 Yield Curve_USD'!EH35</f>
        <v>0</v>
      </c>
      <c r="EA13" s="100">
        <f ca="1">EA12-'[1]3.2.2 Yield Curve_USD'!EI35</f>
        <v>0</v>
      </c>
      <c r="EB13" s="100">
        <f ca="1">EB12-'[1]3.2.2 Yield Curve_USD'!EJ35</f>
        <v>0</v>
      </c>
      <c r="EC13" s="100">
        <f ca="1">EC12-'[1]3.2.2 Yield Curve_USD'!EK35</f>
        <v>0</v>
      </c>
      <c r="ED13" s="100">
        <f ca="1">ED12-'[1]3.2.2 Yield Curve_USD'!EL35</f>
        <v>0</v>
      </c>
      <c r="EE13" s="100">
        <f ca="1">EE12-'[1]3.2.2 Yield Curve_USD'!EM35</f>
        <v>0</v>
      </c>
      <c r="EF13" s="100">
        <f ca="1">EF12-'[1]3.2.2 Yield Curve_USD'!EN35</f>
        <v>0</v>
      </c>
      <c r="EG13" s="100">
        <f ca="1">EG12-'[1]3.2.2 Yield Curve_USD'!EO35</f>
        <v>0</v>
      </c>
      <c r="EH13" s="100">
        <f ca="1">EH12-'[1]3.2.2 Yield Curve_USD'!EP35</f>
        <v>0</v>
      </c>
      <c r="EI13" s="100">
        <f ca="1">EI12-'[1]3.2.2 Yield Curve_USD'!EQ35</f>
        <v>0</v>
      </c>
      <c r="EJ13" s="100">
        <f ca="1">EJ12-'[1]3.2.2 Yield Curve_USD'!ER35</f>
        <v>0</v>
      </c>
      <c r="EK13" s="100">
        <f ca="1">EK12-'[1]3.2.2 Yield Curve_USD'!ES35</f>
        <v>0</v>
      </c>
      <c r="EL13" s="100">
        <f ca="1">EL12-'[1]3.2.2 Yield Curve_USD'!ET35</f>
        <v>0</v>
      </c>
    </row>
    <row r="14" spans="2:142">
      <c r="B14" s="36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</row>
    <row r="15" spans="2:142" ht="20.25">
      <c r="B15" s="99" t="s">
        <v>91</v>
      </c>
      <c r="C15" s="2"/>
      <c r="D15" s="9"/>
      <c r="E15" s="22"/>
    </row>
    <row r="16" spans="2:142">
      <c r="B16" s="98">
        <f>F83</f>
        <v>7.3867569310983899E-2</v>
      </c>
      <c r="C16" s="2"/>
    </row>
    <row r="17" spans="1:142">
      <c r="A17" s="97" t="s">
        <v>79</v>
      </c>
      <c r="B17" s="96">
        <f>B16-'[1]3.2.2 Yield Curve_USD'!$E$10</f>
        <v>0</v>
      </c>
      <c r="C17" s="2"/>
      <c r="D17" s="95"/>
      <c r="E17" s="94"/>
    </row>
    <row r="18" spans="1:142" s="37" customFormat="1" ht="16.5" thickBot="1"/>
    <row r="19" spans="1:142" s="53" customFormat="1" ht="21" thickTop="1">
      <c r="B19" s="67" t="s">
        <v>45</v>
      </c>
    </row>
    <row r="20" spans="1:142" s="53" customFormat="1"/>
    <row r="21" spans="1:142" s="53" customFormat="1">
      <c r="B21" s="52" t="s">
        <v>44</v>
      </c>
    </row>
    <row r="22" spans="1:142">
      <c r="B22" s="44" t="s">
        <v>24</v>
      </c>
      <c r="C22" s="44">
        <v>0</v>
      </c>
      <c r="D22" s="43">
        <v>1</v>
      </c>
      <c r="E22" s="43">
        <v>2</v>
      </c>
      <c r="F22" s="43">
        <v>3</v>
      </c>
      <c r="G22" s="43">
        <v>4</v>
      </c>
      <c r="H22" s="43">
        <v>5</v>
      </c>
      <c r="I22" s="43">
        <v>6</v>
      </c>
      <c r="J22" s="43">
        <v>7</v>
      </c>
      <c r="K22" s="43">
        <v>8</v>
      </c>
      <c r="L22" s="43">
        <v>9</v>
      </c>
      <c r="M22" s="43">
        <v>10</v>
      </c>
      <c r="N22" s="43">
        <v>11</v>
      </c>
      <c r="O22" s="43">
        <v>12</v>
      </c>
      <c r="P22" s="43">
        <v>13</v>
      </c>
      <c r="Q22" s="43">
        <v>14</v>
      </c>
      <c r="R22" s="43">
        <v>15</v>
      </c>
      <c r="S22" s="43">
        <v>16</v>
      </c>
      <c r="T22" s="43">
        <v>17</v>
      </c>
      <c r="U22" s="43">
        <v>18</v>
      </c>
      <c r="V22" s="43">
        <v>19</v>
      </c>
      <c r="W22" s="43">
        <v>20</v>
      </c>
      <c r="X22" s="43">
        <v>21</v>
      </c>
      <c r="Y22" s="43">
        <v>22</v>
      </c>
      <c r="Z22" s="43">
        <v>23</v>
      </c>
      <c r="AA22" s="43">
        <v>24</v>
      </c>
      <c r="AB22" s="43">
        <v>25</v>
      </c>
      <c r="AC22" s="43">
        <v>26</v>
      </c>
      <c r="AD22" s="43">
        <v>27</v>
      </c>
      <c r="AE22" s="43">
        <v>28</v>
      </c>
      <c r="AF22" s="43">
        <v>29</v>
      </c>
      <c r="AG22" s="43">
        <v>30</v>
      </c>
      <c r="AH22" s="43">
        <v>31</v>
      </c>
      <c r="AI22" s="43">
        <v>32</v>
      </c>
      <c r="AJ22" s="43">
        <v>33</v>
      </c>
      <c r="AK22" s="43">
        <v>34</v>
      </c>
      <c r="AL22" s="43">
        <v>35</v>
      </c>
      <c r="AM22" s="43">
        <v>36</v>
      </c>
      <c r="AN22" s="43">
        <v>37</v>
      </c>
      <c r="AO22" s="43">
        <v>38</v>
      </c>
      <c r="AP22" s="43">
        <v>39</v>
      </c>
      <c r="AQ22" s="43">
        <v>40</v>
      </c>
      <c r="AR22" s="43">
        <v>41</v>
      </c>
      <c r="AS22" s="43">
        <v>42</v>
      </c>
      <c r="AT22" s="43">
        <v>43</v>
      </c>
      <c r="AU22" s="43">
        <v>44</v>
      </c>
      <c r="AV22" s="43">
        <v>45</v>
      </c>
      <c r="AW22" s="43">
        <v>46</v>
      </c>
      <c r="AX22" s="43">
        <v>47</v>
      </c>
      <c r="AY22" s="43">
        <v>48</v>
      </c>
      <c r="AZ22" s="43">
        <v>49</v>
      </c>
      <c r="BA22" s="43">
        <v>50</v>
      </c>
      <c r="BB22" s="43">
        <v>51</v>
      </c>
      <c r="BC22" s="43">
        <v>52</v>
      </c>
      <c r="BD22" s="43">
        <v>53</v>
      </c>
      <c r="BE22" s="43">
        <v>54</v>
      </c>
      <c r="BF22" s="43">
        <v>55</v>
      </c>
      <c r="BG22" s="43">
        <v>56</v>
      </c>
      <c r="BH22" s="43">
        <v>57</v>
      </c>
      <c r="BI22" s="43">
        <v>58</v>
      </c>
      <c r="BJ22" s="43">
        <v>59</v>
      </c>
      <c r="BK22" s="43">
        <v>60</v>
      </c>
      <c r="BL22" s="43">
        <v>61</v>
      </c>
      <c r="BM22" s="43">
        <v>62</v>
      </c>
      <c r="BN22" s="43">
        <v>63</v>
      </c>
      <c r="BO22" s="43">
        <v>64</v>
      </c>
      <c r="BP22" s="43">
        <v>65</v>
      </c>
      <c r="BQ22" s="43">
        <v>66</v>
      </c>
      <c r="BR22" s="43">
        <v>67</v>
      </c>
      <c r="BS22" s="43">
        <v>68</v>
      </c>
      <c r="BT22" s="43">
        <v>69</v>
      </c>
      <c r="BU22" s="43">
        <v>70</v>
      </c>
      <c r="BV22" s="43">
        <v>71</v>
      </c>
      <c r="BW22" s="43">
        <v>72</v>
      </c>
      <c r="BX22" s="43">
        <v>73</v>
      </c>
      <c r="BY22" s="43">
        <v>74</v>
      </c>
      <c r="BZ22" s="43">
        <v>75</v>
      </c>
      <c r="CA22" s="43">
        <v>76</v>
      </c>
      <c r="CB22" s="43">
        <v>77</v>
      </c>
      <c r="CC22" s="43">
        <v>78</v>
      </c>
      <c r="CD22" s="43">
        <v>79</v>
      </c>
      <c r="CE22" s="43">
        <v>80</v>
      </c>
      <c r="CF22" s="43">
        <v>81</v>
      </c>
      <c r="CG22" s="43">
        <v>82</v>
      </c>
      <c r="CH22" s="43">
        <v>83</v>
      </c>
      <c r="CI22" s="43">
        <v>84</v>
      </c>
      <c r="CJ22" s="43">
        <v>85</v>
      </c>
      <c r="CK22" s="43">
        <v>86</v>
      </c>
      <c r="CL22" s="43">
        <v>87</v>
      </c>
      <c r="CM22" s="43">
        <v>88</v>
      </c>
      <c r="CN22" s="43">
        <v>89</v>
      </c>
      <c r="CO22" s="43">
        <v>90</v>
      </c>
      <c r="CP22" s="43">
        <v>91</v>
      </c>
      <c r="CQ22" s="43">
        <v>92</v>
      </c>
      <c r="CR22" s="43">
        <v>93</v>
      </c>
      <c r="CS22" s="43">
        <v>94</v>
      </c>
      <c r="CT22" s="43">
        <v>95</v>
      </c>
      <c r="CU22" s="43">
        <v>96</v>
      </c>
      <c r="CV22" s="43">
        <v>97</v>
      </c>
      <c r="CW22" s="43">
        <v>98</v>
      </c>
      <c r="CX22" s="43">
        <v>99</v>
      </c>
      <c r="CY22" s="43">
        <v>100</v>
      </c>
      <c r="CZ22" s="43">
        <v>101</v>
      </c>
      <c r="DA22" s="43">
        <v>102</v>
      </c>
      <c r="DB22" s="43">
        <v>103</v>
      </c>
      <c r="DC22" s="43">
        <v>104</v>
      </c>
      <c r="DD22" s="43">
        <v>105</v>
      </c>
      <c r="DE22" s="43">
        <v>106</v>
      </c>
      <c r="DF22" s="43">
        <v>107</v>
      </c>
      <c r="DG22" s="43">
        <v>108</v>
      </c>
      <c r="DH22" s="43">
        <v>109</v>
      </c>
      <c r="DI22" s="43">
        <v>110</v>
      </c>
      <c r="DJ22" s="43">
        <v>111</v>
      </c>
      <c r="DK22" s="43">
        <v>112</v>
      </c>
      <c r="DL22" s="43">
        <v>113</v>
      </c>
      <c r="DM22" s="43">
        <v>114</v>
      </c>
      <c r="DN22" s="43">
        <v>115</v>
      </c>
      <c r="DO22" s="43">
        <v>116</v>
      </c>
      <c r="DP22" s="43">
        <v>117</v>
      </c>
      <c r="DQ22" s="43">
        <v>118</v>
      </c>
      <c r="DR22" s="43">
        <v>119</v>
      </c>
      <c r="DS22" s="43">
        <v>120</v>
      </c>
      <c r="DT22" s="43">
        <v>121</v>
      </c>
      <c r="DU22" s="43">
        <v>122</v>
      </c>
      <c r="DV22" s="43">
        <v>123</v>
      </c>
      <c r="DW22" s="43">
        <v>124</v>
      </c>
      <c r="DX22" s="43">
        <v>125</v>
      </c>
      <c r="DY22" s="43">
        <v>126</v>
      </c>
      <c r="DZ22" s="43">
        <v>127</v>
      </c>
      <c r="EA22" s="43">
        <v>128</v>
      </c>
      <c r="EB22" s="43">
        <v>129</v>
      </c>
      <c r="EC22" s="43">
        <v>130</v>
      </c>
      <c r="ED22" s="43">
        <v>131</v>
      </c>
      <c r="EE22" s="43">
        <v>132</v>
      </c>
      <c r="EF22" s="43">
        <v>133</v>
      </c>
      <c r="EG22" s="43">
        <v>134</v>
      </c>
      <c r="EH22" s="43">
        <v>135</v>
      </c>
      <c r="EI22" s="43">
        <v>136</v>
      </c>
      <c r="EJ22" s="43">
        <v>137</v>
      </c>
      <c r="EK22" s="43">
        <v>138</v>
      </c>
      <c r="EL22" s="43">
        <v>139</v>
      </c>
    </row>
    <row r="23" spans="1:142" s="65" customFormat="1" ht="13.5">
      <c r="B23" s="62" t="s">
        <v>43</v>
      </c>
      <c r="C23" s="66">
        <f>C28</f>
        <v>0.51090000000000002</v>
      </c>
      <c r="D23" s="66">
        <f ca="1">MIN(D28,ExisitngBond!D$14/D118)</f>
        <v>0.33546234161847188</v>
      </c>
      <c r="E23" s="66">
        <f ca="1">MIN(E28,ExisitngBond!E$14/E118)</f>
        <v>0.23994273640023236</v>
      </c>
      <c r="F23" s="66">
        <f ca="1">MIN(F28,ExisitngBond!F$14/F118)</f>
        <v>0.1792089449230363</v>
      </c>
      <c r="G23" s="66">
        <f ca="1">MIN(G28,ExisitngBond!G$14/G118)</f>
        <v>0.13903723399435564</v>
      </c>
      <c r="H23" s="66">
        <f ca="1">MIN(H28,ExisitngBond!H$14/H118)</f>
        <v>0.11442345876347479</v>
      </c>
      <c r="I23" s="66">
        <f ca="1">MIN(I28,ExisitngBond!I$14/I118)</f>
        <v>0.10115216088095277</v>
      </c>
      <c r="J23" s="66">
        <f ca="1">MIN(J28,ExisitngBond!J$14/J118)</f>
        <v>9.3810499062246908E-2</v>
      </c>
      <c r="K23" s="66">
        <f ca="1">MIN(K28,ExisitngBond!K$14/K118)</f>
        <v>9.0368799583806739E-2</v>
      </c>
      <c r="L23" s="66">
        <f ca="1">MIN(L28,ExisitngBond!L$14/L118)</f>
        <v>8.6843632443637686E-2</v>
      </c>
      <c r="M23" s="66">
        <f ca="1">MIN(M28,ExisitngBond!M$14/M118)</f>
        <v>8.0703510897605246E-2</v>
      </c>
      <c r="N23" s="66">
        <f ca="1">MIN(N28,ExisitngBond!N$14/N118)</f>
        <v>7.797953772873828E-2</v>
      </c>
      <c r="O23" s="66">
        <f ca="1">MIN(O28,ExisitngBond!O$14/O118)</f>
        <v>7.5702344938246333E-2</v>
      </c>
      <c r="P23" s="66">
        <f ca="1">MIN(P28,ExisitngBond!P$14/P118)</f>
        <v>7.3749310683709116E-2</v>
      </c>
      <c r="Q23" s="66">
        <f ca="1">MIN(Q28,ExisitngBond!Q$14/Q118)</f>
        <v>7.1746902579716332E-2</v>
      </c>
      <c r="R23" s="66">
        <f ca="1">MIN(R28,ExisitngBond!R$14/R118)</f>
        <v>6.9822434359871927E-2</v>
      </c>
      <c r="S23" s="66">
        <f ca="1">MIN(S28,ExisitngBond!S$14/S118)</f>
        <v>6.7725830947571383E-2</v>
      </c>
      <c r="T23" s="66">
        <f ca="1">MIN(T28,ExisitngBond!T$14/T118)</f>
        <v>6.4986060666018128E-2</v>
      </c>
      <c r="U23" s="66">
        <f ca="1">MIN(U28,ExisitngBond!U$14/U118)</f>
        <v>6.2765502394216771E-2</v>
      </c>
      <c r="V23" s="66">
        <f ca="1">MIN(V28,ExisitngBond!V$14/V118)</f>
        <v>6.0232649800815066E-2</v>
      </c>
      <c r="W23" s="66">
        <f ca="1">MIN(W28,ExisitngBond!W$14/W118)</f>
        <v>5.7808302495742439E-2</v>
      </c>
      <c r="X23" s="66">
        <f ca="1">MIN(X28,ExisitngBond!X$14/X118)</f>
        <v>5.5831538569342094E-2</v>
      </c>
      <c r="Y23" s="66">
        <f ca="1">MIN(Y28,ExisitngBond!Y$14/Y118)</f>
        <v>5.4353660541897865E-2</v>
      </c>
      <c r="Z23" s="66">
        <f ca="1">MIN(Z28,ExisitngBond!Z$14/Z118)</f>
        <v>5.1985398811904872E-2</v>
      </c>
      <c r="AA23" s="66">
        <f ca="1">MIN(AA28,ExisitngBond!AA$14/AA118)</f>
        <v>4.8551674393514252E-2</v>
      </c>
      <c r="AB23" s="66">
        <f ca="1">MIN(AB28,ExisitngBond!AB$14/AB118)</f>
        <v>4.4707095175681694E-2</v>
      </c>
      <c r="AC23" s="66">
        <f ca="1">MIN(AC28,ExisitngBond!AC$14/AC118)</f>
        <v>3.8212766419132987E-2</v>
      </c>
      <c r="AD23" s="66">
        <f ca="1">MIN(AD28,ExisitngBond!AD$14/AD118)</f>
        <v>3.4373168904346246E-2</v>
      </c>
      <c r="AE23" s="66">
        <f ca="1">MIN(AE28,ExisitngBond!AE$14/AE118)</f>
        <v>2.8960677021119045E-2</v>
      </c>
      <c r="AF23" s="66">
        <f ca="1">MIN(AF28,ExisitngBond!AF$14/AF118)</f>
        <v>2.1235894727847236E-2</v>
      </c>
      <c r="AG23" s="66">
        <f ca="1">MIN(AG28,ExisitngBond!AG$14/AG118)</f>
        <v>4.822960873072971E-3</v>
      </c>
      <c r="AH23" s="66">
        <f ca="1">MIN(AH28,ExisitngBond!AH$14/AH118)</f>
        <v>4.1832104677450429E-3</v>
      </c>
      <c r="AI23" s="66">
        <f ca="1">MIN(AI28,ExisitngBond!AI$14/AI118)</f>
        <v>3.9456127692160357E-3</v>
      </c>
      <c r="AJ23" s="66">
        <f ca="1">MIN(AJ28,ExisitngBond!AJ$14/AJ118)</f>
        <v>3.8746678110945553E-3</v>
      </c>
      <c r="AK23" s="66">
        <f ca="1">MIN(AK28,ExisitngBond!AK$14/AK118)</f>
        <v>3.8064400726996539E-3</v>
      </c>
      <c r="AL23" s="66">
        <f ca="1">MIN(AL28,ExisitngBond!AL$14/AL118)</f>
        <v>3.581760827842007E-3</v>
      </c>
      <c r="AM23" s="66">
        <f ca="1">MIN(AM28,ExisitngBond!AM$14/AM118)</f>
        <v>2.6931899741263776E-3</v>
      </c>
      <c r="AN23" s="66">
        <f ca="1">MIN(AN28,ExisitngBond!AN$14/AN118)</f>
        <v>2.3417254347963819E-3</v>
      </c>
      <c r="AO23" s="66">
        <f ca="1">MIN(AO28,ExisitngBond!AO$14/AO118)</f>
        <v>2.1036303691145267E-3</v>
      </c>
      <c r="AP23" s="66">
        <f ca="1">MIN(AP28,ExisitngBond!AP$14/AP118)</f>
        <v>1.5282684416823944E-3</v>
      </c>
      <c r="AQ23" s="66">
        <f ca="1">MIN(AQ28,ExisitngBond!AQ$14/AQ118)</f>
        <v>1.3369236663228741E-3</v>
      </c>
      <c r="AR23" s="66">
        <f ca="1">MIN(AR28,ExisitngBond!AR$14/AR118)</f>
        <v>1.3169274661326853E-3</v>
      </c>
      <c r="AS23" s="66">
        <f ca="1">MIN(AS28,ExisitngBond!AS$14/AS118)</f>
        <v>1.2955244625712267E-3</v>
      </c>
      <c r="AT23" s="66">
        <f ca="1">MIN(AT28,ExisitngBond!AT$14/AT118)</f>
        <v>1.2502294605766314E-3</v>
      </c>
      <c r="AU23" s="66">
        <f ca="1">MIN(AU28,ExisitngBond!AU$14/AU118)</f>
        <v>1.1444648562467053E-3</v>
      </c>
      <c r="AV23" s="66">
        <f ca="1">MIN(AV28,ExisitngBond!AV$14/AV118)</f>
        <v>1.1121579863882245E-3</v>
      </c>
      <c r="AW23" s="66">
        <f ca="1">MIN(AW28,ExisitngBond!AW$14/AW118)</f>
        <v>1.0635366073669177E-3</v>
      </c>
      <c r="AX23" s="66">
        <f ca="1">MIN(AX28,ExisitngBond!AX$14/AX118)</f>
        <v>1.0411528445595077E-3</v>
      </c>
      <c r="AY23" s="66">
        <f ca="1">MIN(AY28,ExisitngBond!AY$14/AY118)</f>
        <v>0</v>
      </c>
      <c r="AZ23" s="66">
        <f ca="1">MIN(AZ28,ExisitngBond!AZ$14/AZ118)</f>
        <v>0</v>
      </c>
      <c r="BA23" s="66">
        <f ca="1">MIN(BA28,ExisitngBond!BA$14/BA118)</f>
        <v>0</v>
      </c>
      <c r="BB23" s="66">
        <f ca="1">MIN(BB28,ExisitngBond!BB$14/BB118)</f>
        <v>0</v>
      </c>
      <c r="BC23" s="66">
        <f ca="1">MIN(BC28,ExisitngBond!BC$14/BC118)</f>
        <v>0</v>
      </c>
      <c r="BD23" s="66">
        <f ca="1">MIN(BD28,ExisitngBond!BD$14/BD118)</f>
        <v>0</v>
      </c>
      <c r="BE23" s="66">
        <f ca="1">MIN(BE28,ExisitngBond!BE$14/BE118)</f>
        <v>0</v>
      </c>
      <c r="BF23" s="66">
        <f ca="1">MIN(BF28,ExisitngBond!BF$14/BF118)</f>
        <v>0</v>
      </c>
      <c r="BG23" s="66">
        <f ca="1">MIN(BG28,ExisitngBond!BG$14/BG118)</f>
        <v>0</v>
      </c>
      <c r="BH23" s="66">
        <f ca="1">MIN(BH28,ExisitngBond!BH$14/BH118)</f>
        <v>0</v>
      </c>
      <c r="BI23" s="66">
        <f ca="1">MIN(BI28,ExisitngBond!BI$14/BI118)</f>
        <v>0</v>
      </c>
      <c r="BJ23" s="66">
        <f ca="1">MIN(BJ28,ExisitngBond!BJ$14/BJ118)</f>
        <v>0</v>
      </c>
      <c r="BK23" s="66">
        <f ca="1">MIN(BK28,ExisitngBond!BK$14/BK118)</f>
        <v>0</v>
      </c>
      <c r="BL23" s="66">
        <f ca="1">MIN(BL28,ExisitngBond!BL$14/BL118)</f>
        <v>0</v>
      </c>
      <c r="BM23" s="66">
        <f ca="1">MIN(BM28,ExisitngBond!BM$14/BM118)</f>
        <v>0</v>
      </c>
      <c r="BN23" s="66">
        <f ca="1">MIN(BN28,ExisitngBond!BN$14/BN118)</f>
        <v>0</v>
      </c>
      <c r="BO23" s="66">
        <f ca="1">MIN(BO28,ExisitngBond!BO$14/BO118)</f>
        <v>0</v>
      </c>
      <c r="BP23" s="66">
        <f ca="1">MIN(BP28,ExisitngBond!BP$14/BP118)</f>
        <v>0</v>
      </c>
      <c r="BQ23" s="66">
        <f ca="1">MIN(BQ28,ExisitngBond!BQ$14/BQ118)</f>
        <v>0</v>
      </c>
      <c r="BR23" s="66">
        <f ca="1">MIN(BR28,ExisitngBond!BR$14/BR118)</f>
        <v>0</v>
      </c>
      <c r="BS23" s="66">
        <f ca="1">MIN(BS28,ExisitngBond!BS$14/BS118)</f>
        <v>0</v>
      </c>
      <c r="BT23" s="66">
        <f ca="1">MIN(BT28,ExisitngBond!BT$14/BT118)</f>
        <v>0</v>
      </c>
      <c r="BU23" s="66">
        <f ca="1">MIN(BU28,ExisitngBond!BU$14/BU118)</f>
        <v>0</v>
      </c>
      <c r="BV23" s="66">
        <f ca="1">MIN(BV28,ExisitngBond!BV$14/BV118)</f>
        <v>0</v>
      </c>
      <c r="BW23" s="66">
        <f ca="1">MIN(BW28,ExisitngBond!BW$14/BW118)</f>
        <v>0</v>
      </c>
      <c r="BX23" s="66">
        <f ca="1">MIN(BX28,ExisitngBond!BX$14/BX118)</f>
        <v>0</v>
      </c>
      <c r="BY23" s="66">
        <f ca="1">MIN(BY28,ExisitngBond!BY$14/BY118)</f>
        <v>0</v>
      </c>
      <c r="BZ23" s="66">
        <f ca="1">MIN(BZ28,ExisitngBond!BZ$14/BZ118)</f>
        <v>0</v>
      </c>
      <c r="CA23" s="66">
        <f ca="1">MIN(CA28,ExisitngBond!CA$14/CA118)</f>
        <v>0</v>
      </c>
      <c r="CB23" s="66">
        <f ca="1">MIN(CB28,ExisitngBond!CB$14/CB118)</f>
        <v>0</v>
      </c>
      <c r="CC23" s="66">
        <f ca="1">MIN(CC28,ExisitngBond!CC$14/CC118)</f>
        <v>0</v>
      </c>
      <c r="CD23" s="66">
        <f ca="1">MIN(CD28,ExisitngBond!CD$14/CD118)</f>
        <v>0</v>
      </c>
      <c r="CE23" s="66">
        <f ca="1">MIN(CE28,ExisitngBond!CE$14/CE118)</f>
        <v>0</v>
      </c>
      <c r="CF23" s="66">
        <f ca="1">MIN(CF28,ExisitngBond!CF$14/CF118)</f>
        <v>0</v>
      </c>
      <c r="CG23" s="66">
        <f ca="1">MIN(CG28,ExisitngBond!CG$14/CG118)</f>
        <v>0</v>
      </c>
      <c r="CH23" s="66">
        <f ca="1">MIN(CH28,ExisitngBond!CH$14/CH118)</f>
        <v>0</v>
      </c>
      <c r="CI23" s="66">
        <f ca="1">MIN(CI28,ExisitngBond!CI$14/CI118)</f>
        <v>0</v>
      </c>
      <c r="CJ23" s="66">
        <f ca="1">MIN(CJ28,ExisitngBond!CJ$14/CJ118)</f>
        <v>0</v>
      </c>
      <c r="CK23" s="66">
        <f ca="1">MIN(CK28,ExisitngBond!CK$14/CK118)</f>
        <v>0</v>
      </c>
      <c r="CL23" s="66">
        <f ca="1">MIN(CL28,ExisitngBond!CL$14/CL118)</f>
        <v>0</v>
      </c>
      <c r="CM23" s="66">
        <f ca="1">MIN(CM28,ExisitngBond!CM$14/CM118)</f>
        <v>0</v>
      </c>
      <c r="CN23" s="66">
        <f ca="1">MIN(CN28,ExisitngBond!CN$14/CN118)</f>
        <v>0</v>
      </c>
      <c r="CO23" s="66">
        <f ca="1">MIN(CO28,ExisitngBond!CO$14/CO118)</f>
        <v>0</v>
      </c>
      <c r="CP23" s="66">
        <f ca="1">MIN(CP28,ExisitngBond!CP$14/CP118)</f>
        <v>0</v>
      </c>
      <c r="CQ23" s="66">
        <f ca="1">MIN(CQ28,ExisitngBond!CQ$14/CQ118)</f>
        <v>0</v>
      </c>
      <c r="CR23" s="66">
        <f ca="1">MIN(CR28,ExisitngBond!CR$14/CR118)</f>
        <v>0</v>
      </c>
      <c r="CS23" s="66">
        <f ca="1">MIN(CS28,ExisitngBond!CS$14/CS118)</f>
        <v>0</v>
      </c>
      <c r="CT23" s="66">
        <f ca="1">MIN(CT28,ExisitngBond!CT$14/CT118)</f>
        <v>0</v>
      </c>
      <c r="CU23" s="66">
        <f ca="1">MIN(CU28,ExisitngBond!CU$14/CU118)</f>
        <v>0</v>
      </c>
      <c r="CV23" s="66">
        <f ca="1">MIN(CV28,ExisitngBond!CV$14/CV118)</f>
        <v>0</v>
      </c>
      <c r="CW23" s="66">
        <f ca="1">MIN(CW28,ExisitngBond!CW$14/CW118)</f>
        <v>0</v>
      </c>
      <c r="CX23" s="66">
        <f ca="1">MIN(CX28,ExisitngBond!CX$14/CX118)</f>
        <v>0</v>
      </c>
      <c r="CY23" s="66">
        <f ca="1">MIN(CY28,ExisitngBond!CY$14/CY118)</f>
        <v>0</v>
      </c>
      <c r="CZ23" s="66">
        <f ca="1">MIN(CZ28,ExisitngBond!CZ$14/CZ118)</f>
        <v>0</v>
      </c>
      <c r="DA23" s="66">
        <f ca="1">MIN(DA28,ExisitngBond!DA$14/DA118)</f>
        <v>0</v>
      </c>
      <c r="DB23" s="66">
        <f ca="1">MIN(DB28,ExisitngBond!DB$14/DB118)</f>
        <v>0</v>
      </c>
      <c r="DC23" s="66">
        <f ca="1">MIN(DC28,ExisitngBond!DC$14/DC118)</f>
        <v>0</v>
      </c>
      <c r="DD23" s="66">
        <f ca="1">MIN(DD28,ExisitngBond!DD$14/DD118)</f>
        <v>0</v>
      </c>
      <c r="DE23" s="66">
        <f ca="1">MIN(DE28,ExisitngBond!DE$14/DE118)</f>
        <v>0</v>
      </c>
      <c r="DF23" s="66">
        <f ca="1">MIN(DF28,ExisitngBond!DF$14/DF118)</f>
        <v>0</v>
      </c>
      <c r="DG23" s="66">
        <f ca="1">MIN(DG28,ExisitngBond!DG$14/DG118)</f>
        <v>0</v>
      </c>
      <c r="DH23" s="66">
        <f ca="1">MIN(DH28,ExisitngBond!DH$14/DH118)</f>
        <v>0</v>
      </c>
      <c r="DI23" s="66">
        <f ca="1">MIN(DI28,ExisitngBond!DI$14/DI118)</f>
        <v>0</v>
      </c>
      <c r="DJ23" s="66">
        <f ca="1">MIN(DJ28,ExisitngBond!DJ$14/DJ118)</f>
        <v>0</v>
      </c>
      <c r="DK23" s="66">
        <f ca="1">MIN(DK28,ExisitngBond!DK$14/DK118)</f>
        <v>0</v>
      </c>
      <c r="DL23" s="66">
        <f ca="1">MIN(DL28,ExisitngBond!DL$14/DL118)</f>
        <v>0</v>
      </c>
      <c r="DM23" s="66">
        <f ca="1">MIN(DM28,ExisitngBond!DM$14/DM118)</f>
        <v>0</v>
      </c>
      <c r="DN23" s="66">
        <f ca="1">MIN(DN28,ExisitngBond!DN$14/DN118)</f>
        <v>0</v>
      </c>
      <c r="DO23" s="66">
        <f ca="1">MIN(DO28,ExisitngBond!DO$14/DO118)</f>
        <v>0</v>
      </c>
      <c r="DP23" s="66">
        <f ca="1">MIN(DP28,ExisitngBond!DP$14/DP118)</f>
        <v>0</v>
      </c>
      <c r="DQ23" s="66">
        <f ca="1">MIN(DQ28,ExisitngBond!DQ$14/DQ118)</f>
        <v>0</v>
      </c>
      <c r="DR23" s="66">
        <f ca="1">MIN(DR28,ExisitngBond!DR$14/DR118)</f>
        <v>0</v>
      </c>
      <c r="DS23" s="66">
        <f ca="1">MIN(DS28,ExisitngBond!DS$14/DS118)</f>
        <v>0</v>
      </c>
      <c r="DT23" s="66">
        <f ca="1">MIN(DT28,ExisitngBond!DT$14/DT118)</f>
        <v>0</v>
      </c>
      <c r="DU23" s="66">
        <f ca="1">MIN(DU28,ExisitngBond!DU$14/DU118)</f>
        <v>0</v>
      </c>
      <c r="DV23" s="66">
        <f ca="1">MIN(DV28,ExisitngBond!DV$14/DV118)</f>
        <v>0</v>
      </c>
      <c r="DW23" s="66">
        <f ca="1">MIN(DW28,ExisitngBond!DW$14/DW118)</f>
        <v>0</v>
      </c>
      <c r="DX23" s="66">
        <f ca="1">MIN(DX28,ExisitngBond!DX$14/DX118)</f>
        <v>0</v>
      </c>
      <c r="DY23" s="66">
        <f ca="1">MIN(DY28,ExisitngBond!DY$14/DY118)</f>
        <v>0</v>
      </c>
      <c r="DZ23" s="66">
        <f ca="1">MIN(DZ28,ExisitngBond!DZ$14/DZ118)</f>
        <v>0</v>
      </c>
      <c r="EA23" s="66">
        <f ca="1">MIN(EA28,ExisitngBond!EA$14/EA118)</f>
        <v>0</v>
      </c>
      <c r="EB23" s="66">
        <f ca="1">MIN(EB28,ExisitngBond!EB$14/EB118)</f>
        <v>0</v>
      </c>
      <c r="EC23" s="66">
        <f ca="1">MIN(EC28,ExisitngBond!EC$14/EC118)</f>
        <v>0</v>
      </c>
      <c r="ED23" s="66">
        <f ca="1">MIN(ED28,ExisitngBond!ED$14/ED118)</f>
        <v>0</v>
      </c>
      <c r="EE23" s="66">
        <f ca="1">MIN(EE28,ExisitngBond!EE$14/EE118)</f>
        <v>0</v>
      </c>
      <c r="EF23" s="66">
        <f ca="1">MIN(EF28,ExisitngBond!EF$14/EF118)</f>
        <v>0</v>
      </c>
      <c r="EG23" s="66">
        <f ca="1">MIN(EG28,ExisitngBond!EG$14/EG118)</f>
        <v>0</v>
      </c>
      <c r="EH23" s="66">
        <f ca="1">MIN(EH28,ExisitngBond!EH$14/EH118)</f>
        <v>0</v>
      </c>
      <c r="EI23" s="66">
        <f ca="1">MIN(EI28,ExisitngBond!EI$14/EI118)</f>
        <v>0</v>
      </c>
      <c r="EJ23" s="66">
        <f ca="1">MIN(EJ28,ExisitngBond!EJ$14/EJ118)</f>
        <v>0</v>
      </c>
      <c r="EK23" s="66">
        <f ca="1">MIN(EK28,ExisitngBond!EK$14/EK118)</f>
        <v>0</v>
      </c>
      <c r="EL23" s="66">
        <f ca="1">MIN(EL28,ExisitngBond!EL$14/EL118)</f>
        <v>0</v>
      </c>
    </row>
    <row r="24" spans="1:142" s="65" customFormat="1" ht="13.5">
      <c r="B24" s="62" t="s">
        <v>42</v>
      </c>
      <c r="C24" s="66">
        <f t="shared" ref="C24:AH24" si="10">C28-C23</f>
        <v>0</v>
      </c>
      <c r="D24" s="66">
        <f ca="1">D28-D23</f>
        <v>0.14634903455824622</v>
      </c>
      <c r="E24" s="66">
        <f t="shared" ca="1" si="10"/>
        <v>0.21278001595320381</v>
      </c>
      <c r="F24" s="66">
        <f t="shared" ca="1" si="10"/>
        <v>0.2444251836071179</v>
      </c>
      <c r="G24" s="66">
        <f t="shared" ca="1" si="10"/>
        <v>0.25550827071251664</v>
      </c>
      <c r="H24" s="66">
        <f t="shared" ca="1" si="10"/>
        <v>0.28012204594339751</v>
      </c>
      <c r="I24" s="66">
        <f t="shared" ca="1" si="10"/>
        <v>0.29339334382591953</v>
      </c>
      <c r="J24" s="66">
        <f t="shared" ca="1" si="10"/>
        <v>0.30073500564462535</v>
      </c>
      <c r="K24" s="66">
        <f t="shared" ca="1" si="10"/>
        <v>0.30417670512306555</v>
      </c>
      <c r="L24" s="66">
        <f t="shared" ca="1" si="10"/>
        <v>0.30770187226323459</v>
      </c>
      <c r="M24" s="66">
        <f t="shared" ca="1" si="10"/>
        <v>0.31384199380926703</v>
      </c>
      <c r="N24" s="66">
        <f t="shared" ca="1" si="10"/>
        <v>0.31656596697813399</v>
      </c>
      <c r="O24" s="66">
        <f t="shared" ca="1" si="10"/>
        <v>0.31884315976862593</v>
      </c>
      <c r="P24" s="66">
        <f t="shared" ca="1" si="10"/>
        <v>0.32079619402316317</v>
      </c>
      <c r="Q24" s="66">
        <f t="shared" ca="1" si="10"/>
        <v>0.32279860212715594</v>
      </c>
      <c r="R24" s="66">
        <f t="shared" ca="1" si="10"/>
        <v>0.32472307034700032</v>
      </c>
      <c r="S24" s="66">
        <f t="shared" ca="1" si="10"/>
        <v>0.32681967375930088</v>
      </c>
      <c r="T24" s="66">
        <f t="shared" ca="1" si="10"/>
        <v>0.32955944404085413</v>
      </c>
      <c r="U24" s="66">
        <f t="shared" ca="1" si="10"/>
        <v>0.33178000231265548</v>
      </c>
      <c r="V24" s="66">
        <f t="shared" ca="1" si="10"/>
        <v>0.33431285490605722</v>
      </c>
      <c r="W24" s="66">
        <f t="shared" ca="1" si="10"/>
        <v>0.33673720221112985</v>
      </c>
      <c r="X24" s="66">
        <f t="shared" ca="1" si="10"/>
        <v>0.33871396613753019</v>
      </c>
      <c r="Y24" s="66">
        <f t="shared" ca="1" si="10"/>
        <v>0.34019184416497439</v>
      </c>
      <c r="Z24" s="66">
        <f t="shared" ca="1" si="10"/>
        <v>0.34256010589496738</v>
      </c>
      <c r="AA24" s="66">
        <f t="shared" ca="1" si="10"/>
        <v>0.34599383031335801</v>
      </c>
      <c r="AB24" s="66">
        <f t="shared" ca="1" si="10"/>
        <v>0.34983840953119061</v>
      </c>
      <c r="AC24" s="66">
        <f t="shared" ca="1" si="10"/>
        <v>0.35633273828773926</v>
      </c>
      <c r="AD24" s="66">
        <f t="shared" ca="1" si="10"/>
        <v>0.36017233580252606</v>
      </c>
      <c r="AE24" s="66">
        <f t="shared" ca="1" si="10"/>
        <v>0.36558482768575323</v>
      </c>
      <c r="AF24" s="66">
        <f t="shared" ca="1" si="10"/>
        <v>0.37330960997902501</v>
      </c>
      <c r="AG24" s="66">
        <f t="shared" ca="1" si="10"/>
        <v>0.38972254383379928</v>
      </c>
      <c r="AH24" s="66">
        <f t="shared" ca="1" si="10"/>
        <v>0.39036229423912722</v>
      </c>
      <c r="AI24" s="66">
        <f t="shared" ref="AI24:BN24" ca="1" si="11">AI28-AI23</f>
        <v>0.39059989193765626</v>
      </c>
      <c r="AJ24" s="66">
        <f t="shared" ca="1" si="11"/>
        <v>0.3906708368957777</v>
      </c>
      <c r="AK24" s="66">
        <f t="shared" ca="1" si="11"/>
        <v>0.39073906463417263</v>
      </c>
      <c r="AL24" s="66">
        <f t="shared" ca="1" si="11"/>
        <v>0.39096374387903027</v>
      </c>
      <c r="AM24" s="66">
        <f t="shared" ca="1" si="11"/>
        <v>0.3918523147327459</v>
      </c>
      <c r="AN24" s="66">
        <f t="shared" ca="1" si="11"/>
        <v>0.39220377927207589</v>
      </c>
      <c r="AO24" s="66">
        <f t="shared" ca="1" si="11"/>
        <v>0.39244187433775773</v>
      </c>
      <c r="AP24" s="66">
        <f t="shared" ca="1" si="11"/>
        <v>0.39301723626518986</v>
      </c>
      <c r="AQ24" s="66">
        <f t="shared" ca="1" si="11"/>
        <v>0.3932085810405494</v>
      </c>
      <c r="AR24" s="66">
        <f t="shared" ca="1" si="11"/>
        <v>0.39322857724073956</v>
      </c>
      <c r="AS24" s="66">
        <f t="shared" ca="1" si="11"/>
        <v>0.39324998024430102</v>
      </c>
      <c r="AT24" s="66">
        <f t="shared" ca="1" si="11"/>
        <v>0.39329527524629565</v>
      </c>
      <c r="AU24" s="66">
        <f t="shared" ca="1" si="11"/>
        <v>0.39340103985062558</v>
      </c>
      <c r="AV24" s="66">
        <f t="shared" ca="1" si="11"/>
        <v>0.39343334672048402</v>
      </c>
      <c r="AW24" s="66">
        <f t="shared" ca="1" si="11"/>
        <v>0.39348196809950536</v>
      </c>
      <c r="AX24" s="66">
        <f t="shared" ca="1" si="11"/>
        <v>0.39350435186231275</v>
      </c>
      <c r="AY24" s="66">
        <f t="shared" ca="1" si="11"/>
        <v>0.39454550470687227</v>
      </c>
      <c r="AZ24" s="66">
        <f t="shared" ca="1" si="11"/>
        <v>0.39454550470687227</v>
      </c>
      <c r="BA24" s="66">
        <f t="shared" ca="1" si="11"/>
        <v>0.39454550470687227</v>
      </c>
      <c r="BB24" s="66">
        <f t="shared" ca="1" si="11"/>
        <v>0.39454550470687227</v>
      </c>
      <c r="BC24" s="66">
        <f t="shared" ca="1" si="11"/>
        <v>0.39454550470687227</v>
      </c>
      <c r="BD24" s="66">
        <f t="shared" ca="1" si="11"/>
        <v>0.39454550470687227</v>
      </c>
      <c r="BE24" s="66">
        <f t="shared" ca="1" si="11"/>
        <v>0.39454550470687227</v>
      </c>
      <c r="BF24" s="66">
        <f t="shared" ca="1" si="11"/>
        <v>0.39454550470687227</v>
      </c>
      <c r="BG24" s="66">
        <f t="shared" ca="1" si="11"/>
        <v>0.39454550470687227</v>
      </c>
      <c r="BH24" s="66">
        <f t="shared" ca="1" si="11"/>
        <v>0.39454550470687227</v>
      </c>
      <c r="BI24" s="66">
        <f t="shared" ca="1" si="11"/>
        <v>0.39454550470687227</v>
      </c>
      <c r="BJ24" s="66">
        <f t="shared" ca="1" si="11"/>
        <v>0.39454550470687227</v>
      </c>
      <c r="BK24" s="66">
        <f t="shared" ca="1" si="11"/>
        <v>0.39454550470687227</v>
      </c>
      <c r="BL24" s="66">
        <f t="shared" ca="1" si="11"/>
        <v>0.39454550470687227</v>
      </c>
      <c r="BM24" s="66">
        <f t="shared" ca="1" si="11"/>
        <v>0.39454550470687227</v>
      </c>
      <c r="BN24" s="66">
        <f t="shared" ca="1" si="11"/>
        <v>0.39454550470687227</v>
      </c>
      <c r="BO24" s="66">
        <f t="shared" ref="BO24:CT24" ca="1" si="12">BO28-BO23</f>
        <v>0.39454550470687227</v>
      </c>
      <c r="BP24" s="66">
        <f t="shared" ca="1" si="12"/>
        <v>0.39454550470687227</v>
      </c>
      <c r="BQ24" s="66">
        <f t="shared" ca="1" si="12"/>
        <v>0.39454550470687227</v>
      </c>
      <c r="BR24" s="66">
        <f t="shared" ca="1" si="12"/>
        <v>0.39454550470687227</v>
      </c>
      <c r="BS24" s="66">
        <f t="shared" ca="1" si="12"/>
        <v>0.39454550470687227</v>
      </c>
      <c r="BT24" s="66">
        <f t="shared" ca="1" si="12"/>
        <v>0.39454550470687227</v>
      </c>
      <c r="BU24" s="66">
        <f t="shared" ca="1" si="12"/>
        <v>0.39454550470687227</v>
      </c>
      <c r="BV24" s="66">
        <f t="shared" ca="1" si="12"/>
        <v>0.39454550470687227</v>
      </c>
      <c r="BW24" s="66">
        <f t="shared" ca="1" si="12"/>
        <v>0.39454550470687227</v>
      </c>
      <c r="BX24" s="66">
        <f t="shared" ca="1" si="12"/>
        <v>0.39454550470687227</v>
      </c>
      <c r="BY24" s="66">
        <f t="shared" ca="1" si="12"/>
        <v>0.39454550470687227</v>
      </c>
      <c r="BZ24" s="66">
        <f t="shared" ca="1" si="12"/>
        <v>0.39454550470687227</v>
      </c>
      <c r="CA24" s="66">
        <f t="shared" ca="1" si="12"/>
        <v>0.39454550470687227</v>
      </c>
      <c r="CB24" s="66">
        <f t="shared" ca="1" si="12"/>
        <v>0.39454550470687227</v>
      </c>
      <c r="CC24" s="66">
        <f t="shared" ca="1" si="12"/>
        <v>0.39454550470687227</v>
      </c>
      <c r="CD24" s="66">
        <f t="shared" ca="1" si="12"/>
        <v>0.39454550470687227</v>
      </c>
      <c r="CE24" s="66">
        <f t="shared" ca="1" si="12"/>
        <v>0.39454550470687227</v>
      </c>
      <c r="CF24" s="66">
        <f t="shared" ca="1" si="12"/>
        <v>0.39454550470687227</v>
      </c>
      <c r="CG24" s="66">
        <f t="shared" ca="1" si="12"/>
        <v>0.39454550470687227</v>
      </c>
      <c r="CH24" s="66">
        <f t="shared" ca="1" si="12"/>
        <v>0.39454550470687227</v>
      </c>
      <c r="CI24" s="66">
        <f t="shared" ca="1" si="12"/>
        <v>0.39454550470687227</v>
      </c>
      <c r="CJ24" s="66">
        <f t="shared" ca="1" si="12"/>
        <v>0.39454550470687227</v>
      </c>
      <c r="CK24" s="66">
        <f t="shared" ca="1" si="12"/>
        <v>0.39454550470687227</v>
      </c>
      <c r="CL24" s="66">
        <f t="shared" ca="1" si="12"/>
        <v>0.39454550470687227</v>
      </c>
      <c r="CM24" s="66">
        <f t="shared" ca="1" si="12"/>
        <v>0.39454550470687227</v>
      </c>
      <c r="CN24" s="66">
        <f t="shared" ca="1" si="12"/>
        <v>0.39454550470687227</v>
      </c>
      <c r="CO24" s="66">
        <f t="shared" ca="1" si="12"/>
        <v>0.39454550470687227</v>
      </c>
      <c r="CP24" s="66">
        <f t="shared" ca="1" si="12"/>
        <v>0.39454550470687227</v>
      </c>
      <c r="CQ24" s="66">
        <f t="shared" ca="1" si="12"/>
        <v>0.39454550470687227</v>
      </c>
      <c r="CR24" s="66">
        <f t="shared" ca="1" si="12"/>
        <v>0.39454550470687227</v>
      </c>
      <c r="CS24" s="66">
        <f t="shared" ca="1" si="12"/>
        <v>0.39454550470687227</v>
      </c>
      <c r="CT24" s="66">
        <f t="shared" ca="1" si="12"/>
        <v>0.39454550470687227</v>
      </c>
      <c r="CU24" s="66">
        <f t="shared" ref="CU24:DZ24" ca="1" si="13">CU28-CU23</f>
        <v>0.39454550470687227</v>
      </c>
      <c r="CV24" s="66">
        <f t="shared" ca="1" si="13"/>
        <v>0.39454550470687227</v>
      </c>
      <c r="CW24" s="66">
        <f t="shared" ca="1" si="13"/>
        <v>0.39454550470687227</v>
      </c>
      <c r="CX24" s="66">
        <f t="shared" ca="1" si="13"/>
        <v>0.39454550470687227</v>
      </c>
      <c r="CY24" s="66">
        <f t="shared" ca="1" si="13"/>
        <v>0.39454550470687227</v>
      </c>
      <c r="CZ24" s="66">
        <f t="shared" ca="1" si="13"/>
        <v>0.39454550470687227</v>
      </c>
      <c r="DA24" s="66">
        <f t="shared" ca="1" si="13"/>
        <v>0.39454550470687227</v>
      </c>
      <c r="DB24" s="66">
        <f t="shared" ca="1" si="13"/>
        <v>0.39454550470687227</v>
      </c>
      <c r="DC24" s="66">
        <f t="shared" ca="1" si="13"/>
        <v>0.39454550470687227</v>
      </c>
      <c r="DD24" s="66">
        <f t="shared" ca="1" si="13"/>
        <v>0.39454550470687227</v>
      </c>
      <c r="DE24" s="66">
        <f t="shared" ca="1" si="13"/>
        <v>0.39454550470687227</v>
      </c>
      <c r="DF24" s="66">
        <f t="shared" ca="1" si="13"/>
        <v>0.39454550470687227</v>
      </c>
      <c r="DG24" s="66">
        <f t="shared" ca="1" si="13"/>
        <v>0.39454550470687227</v>
      </c>
      <c r="DH24" s="66">
        <f t="shared" ca="1" si="13"/>
        <v>0.39454550470687227</v>
      </c>
      <c r="DI24" s="66">
        <f t="shared" ca="1" si="13"/>
        <v>0.39454550470687227</v>
      </c>
      <c r="DJ24" s="66">
        <f t="shared" ca="1" si="13"/>
        <v>0.39454550470687227</v>
      </c>
      <c r="DK24" s="66">
        <f t="shared" ca="1" si="13"/>
        <v>0.39454550470687227</v>
      </c>
      <c r="DL24" s="66">
        <f t="shared" ca="1" si="13"/>
        <v>0.39454550470687227</v>
      </c>
      <c r="DM24" s="66">
        <f t="shared" ca="1" si="13"/>
        <v>0.39454550470687227</v>
      </c>
      <c r="DN24" s="66">
        <f t="shared" ca="1" si="13"/>
        <v>0.39454550470687227</v>
      </c>
      <c r="DO24" s="66">
        <f t="shared" ca="1" si="13"/>
        <v>0.39454550470687227</v>
      </c>
      <c r="DP24" s="66">
        <f t="shared" ca="1" si="13"/>
        <v>0.39454550470687227</v>
      </c>
      <c r="DQ24" s="66">
        <f t="shared" ca="1" si="13"/>
        <v>0.39454550470687227</v>
      </c>
      <c r="DR24" s="66">
        <f t="shared" ca="1" si="13"/>
        <v>0.39454550470687227</v>
      </c>
      <c r="DS24" s="66">
        <f t="shared" ca="1" si="13"/>
        <v>0.39454550470687227</v>
      </c>
      <c r="DT24" s="66">
        <f t="shared" ca="1" si="13"/>
        <v>0.39454550470687227</v>
      </c>
      <c r="DU24" s="66">
        <f t="shared" ca="1" si="13"/>
        <v>0.39454550470687227</v>
      </c>
      <c r="DV24" s="66">
        <f t="shared" ca="1" si="13"/>
        <v>0.39454550470687227</v>
      </c>
      <c r="DW24" s="66">
        <f t="shared" ca="1" si="13"/>
        <v>0.39454550470687227</v>
      </c>
      <c r="DX24" s="66">
        <f t="shared" ca="1" si="13"/>
        <v>0.39454550470687227</v>
      </c>
      <c r="DY24" s="66">
        <f t="shared" ca="1" si="13"/>
        <v>0.39454550470687227</v>
      </c>
      <c r="DZ24" s="66">
        <f t="shared" ca="1" si="13"/>
        <v>0.39454550470687227</v>
      </c>
      <c r="EA24" s="66">
        <f t="shared" ref="EA24:EL24" ca="1" si="14">EA28-EA23</f>
        <v>0.39454550470687227</v>
      </c>
      <c r="EB24" s="66">
        <f t="shared" ca="1" si="14"/>
        <v>0.39454550470687227</v>
      </c>
      <c r="EC24" s="66">
        <f t="shared" ca="1" si="14"/>
        <v>0.39454550470687227</v>
      </c>
      <c r="ED24" s="66">
        <f t="shared" ca="1" si="14"/>
        <v>0.39454550470687227</v>
      </c>
      <c r="EE24" s="66">
        <f t="shared" ca="1" si="14"/>
        <v>0.39454550470687227</v>
      </c>
      <c r="EF24" s="66">
        <f t="shared" ca="1" si="14"/>
        <v>0.39454550470687227</v>
      </c>
      <c r="EG24" s="66">
        <f t="shared" ca="1" si="14"/>
        <v>0.39454550470687227</v>
      </c>
      <c r="EH24" s="66">
        <f t="shared" ca="1" si="14"/>
        <v>0.39454550470687227</v>
      </c>
      <c r="EI24" s="66">
        <f t="shared" ca="1" si="14"/>
        <v>0.39454550470687227</v>
      </c>
      <c r="EJ24" s="66">
        <f t="shared" ca="1" si="14"/>
        <v>0.39454550470687227</v>
      </c>
      <c r="EK24" s="66">
        <f t="shared" ca="1" si="14"/>
        <v>0.39454550470687227</v>
      </c>
      <c r="EL24" s="66">
        <f t="shared" ca="1" si="14"/>
        <v>0.39454550470687227</v>
      </c>
    </row>
    <row r="25" spans="1:142" s="63" customFormat="1">
      <c r="B25" s="47"/>
      <c r="C25" s="64"/>
      <c r="D25" s="1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</row>
    <row r="26" spans="1:142">
      <c r="B26" s="52" t="s">
        <v>41</v>
      </c>
      <c r="C26" s="19"/>
    </row>
    <row r="27" spans="1:142">
      <c r="B27" s="44" t="s">
        <v>24</v>
      </c>
      <c r="C27" s="44">
        <v>0</v>
      </c>
      <c r="D27" s="43">
        <v>1</v>
      </c>
      <c r="E27" s="43">
        <v>2</v>
      </c>
      <c r="F27" s="43">
        <v>3</v>
      </c>
      <c r="G27" s="43">
        <v>4</v>
      </c>
      <c r="H27" s="43">
        <v>5</v>
      </c>
      <c r="I27" s="43">
        <v>6</v>
      </c>
      <c r="J27" s="43">
        <v>7</v>
      </c>
      <c r="K27" s="43">
        <v>8</v>
      </c>
      <c r="L27" s="43">
        <v>9</v>
      </c>
      <c r="M27" s="43">
        <v>10</v>
      </c>
      <c r="N27" s="43">
        <v>11</v>
      </c>
      <c r="O27" s="43">
        <v>12</v>
      </c>
      <c r="P27" s="43">
        <v>13</v>
      </c>
      <c r="Q27" s="43">
        <v>14</v>
      </c>
      <c r="R27" s="43">
        <v>15</v>
      </c>
      <c r="S27" s="43">
        <v>16</v>
      </c>
      <c r="T27" s="43">
        <v>17</v>
      </c>
      <c r="U27" s="43">
        <v>18</v>
      </c>
      <c r="V27" s="43">
        <v>19</v>
      </c>
      <c r="W27" s="43">
        <v>20</v>
      </c>
      <c r="X27" s="43">
        <v>21</v>
      </c>
      <c r="Y27" s="43">
        <v>22</v>
      </c>
      <c r="Z27" s="43">
        <v>23</v>
      </c>
      <c r="AA27" s="43">
        <v>24</v>
      </c>
      <c r="AB27" s="43">
        <v>25</v>
      </c>
      <c r="AC27" s="43">
        <v>26</v>
      </c>
      <c r="AD27" s="43">
        <v>27</v>
      </c>
      <c r="AE27" s="43">
        <v>28</v>
      </c>
      <c r="AF27" s="43">
        <v>29</v>
      </c>
      <c r="AG27" s="43">
        <v>30</v>
      </c>
      <c r="AH27" s="43">
        <v>31</v>
      </c>
      <c r="AI27" s="43">
        <v>32</v>
      </c>
      <c r="AJ27" s="43">
        <v>33</v>
      </c>
      <c r="AK27" s="43">
        <v>34</v>
      </c>
      <c r="AL27" s="43">
        <v>35</v>
      </c>
      <c r="AM27" s="43">
        <v>36</v>
      </c>
      <c r="AN27" s="43">
        <v>37</v>
      </c>
      <c r="AO27" s="43">
        <v>38</v>
      </c>
      <c r="AP27" s="43">
        <v>39</v>
      </c>
      <c r="AQ27" s="43">
        <v>40</v>
      </c>
      <c r="AR27" s="43">
        <v>41</v>
      </c>
      <c r="AS27" s="43">
        <v>42</v>
      </c>
      <c r="AT27" s="43">
        <v>43</v>
      </c>
      <c r="AU27" s="43">
        <v>44</v>
      </c>
      <c r="AV27" s="43">
        <v>45</v>
      </c>
      <c r="AW27" s="43">
        <v>46</v>
      </c>
      <c r="AX27" s="43">
        <v>47</v>
      </c>
      <c r="AY27" s="43">
        <v>48</v>
      </c>
      <c r="AZ27" s="43">
        <v>49</v>
      </c>
      <c r="BA27" s="43">
        <v>50</v>
      </c>
      <c r="BB27" s="43">
        <v>51</v>
      </c>
      <c r="BC27" s="43">
        <v>52</v>
      </c>
      <c r="BD27" s="43">
        <v>53</v>
      </c>
      <c r="BE27" s="43">
        <v>54</v>
      </c>
      <c r="BF27" s="43">
        <v>55</v>
      </c>
      <c r="BG27" s="43">
        <v>56</v>
      </c>
      <c r="BH27" s="43">
        <v>57</v>
      </c>
      <c r="BI27" s="43">
        <v>58</v>
      </c>
      <c r="BJ27" s="43">
        <v>59</v>
      </c>
      <c r="BK27" s="43">
        <v>60</v>
      </c>
      <c r="BL27" s="43">
        <v>61</v>
      </c>
      <c r="BM27" s="43">
        <v>62</v>
      </c>
      <c r="BN27" s="43">
        <v>63</v>
      </c>
      <c r="BO27" s="43">
        <v>64</v>
      </c>
      <c r="BP27" s="43">
        <v>65</v>
      </c>
      <c r="BQ27" s="43">
        <v>66</v>
      </c>
      <c r="BR27" s="43">
        <v>67</v>
      </c>
      <c r="BS27" s="43">
        <v>68</v>
      </c>
      <c r="BT27" s="43">
        <v>69</v>
      </c>
      <c r="BU27" s="43">
        <v>70</v>
      </c>
      <c r="BV27" s="43">
        <v>71</v>
      </c>
      <c r="BW27" s="43">
        <v>72</v>
      </c>
      <c r="BX27" s="43">
        <v>73</v>
      </c>
      <c r="BY27" s="43">
        <v>74</v>
      </c>
      <c r="BZ27" s="43">
        <v>75</v>
      </c>
      <c r="CA27" s="43">
        <v>76</v>
      </c>
      <c r="CB27" s="43">
        <v>77</v>
      </c>
      <c r="CC27" s="43">
        <v>78</v>
      </c>
      <c r="CD27" s="43">
        <v>79</v>
      </c>
      <c r="CE27" s="43">
        <v>80</v>
      </c>
      <c r="CF27" s="43">
        <v>81</v>
      </c>
      <c r="CG27" s="43">
        <v>82</v>
      </c>
      <c r="CH27" s="43">
        <v>83</v>
      </c>
      <c r="CI27" s="43">
        <v>84</v>
      </c>
      <c r="CJ27" s="43">
        <v>85</v>
      </c>
      <c r="CK27" s="43">
        <v>86</v>
      </c>
      <c r="CL27" s="43">
        <v>87</v>
      </c>
      <c r="CM27" s="43">
        <v>88</v>
      </c>
      <c r="CN27" s="43">
        <v>89</v>
      </c>
      <c r="CO27" s="43">
        <v>90</v>
      </c>
      <c r="CP27" s="43">
        <v>91</v>
      </c>
      <c r="CQ27" s="43">
        <v>92</v>
      </c>
      <c r="CR27" s="43">
        <v>93</v>
      </c>
      <c r="CS27" s="43">
        <v>94</v>
      </c>
      <c r="CT27" s="43">
        <v>95</v>
      </c>
      <c r="CU27" s="43">
        <v>96</v>
      </c>
      <c r="CV27" s="43">
        <v>97</v>
      </c>
      <c r="CW27" s="43">
        <v>98</v>
      </c>
      <c r="CX27" s="43">
        <v>99</v>
      </c>
      <c r="CY27" s="43">
        <v>100</v>
      </c>
      <c r="CZ27" s="43">
        <v>101</v>
      </c>
      <c r="DA27" s="43">
        <v>102</v>
      </c>
      <c r="DB27" s="43">
        <v>103</v>
      </c>
      <c r="DC27" s="43">
        <v>104</v>
      </c>
      <c r="DD27" s="43">
        <v>105</v>
      </c>
      <c r="DE27" s="43">
        <v>106</v>
      </c>
      <c r="DF27" s="43">
        <v>107</v>
      </c>
      <c r="DG27" s="43">
        <v>108</v>
      </c>
      <c r="DH27" s="43">
        <v>109</v>
      </c>
      <c r="DI27" s="43">
        <v>110</v>
      </c>
      <c r="DJ27" s="43">
        <v>111</v>
      </c>
      <c r="DK27" s="43">
        <v>112</v>
      </c>
      <c r="DL27" s="43">
        <v>113</v>
      </c>
      <c r="DM27" s="43">
        <v>114</v>
      </c>
      <c r="DN27" s="43">
        <v>115</v>
      </c>
      <c r="DO27" s="43">
        <v>116</v>
      </c>
      <c r="DP27" s="43">
        <v>117</v>
      </c>
      <c r="DQ27" s="43">
        <v>118</v>
      </c>
      <c r="DR27" s="43">
        <v>119</v>
      </c>
      <c r="DS27" s="43">
        <v>120</v>
      </c>
      <c r="DT27" s="43">
        <v>121</v>
      </c>
      <c r="DU27" s="43">
        <v>122</v>
      </c>
      <c r="DV27" s="43">
        <v>123</v>
      </c>
      <c r="DW27" s="43">
        <v>124</v>
      </c>
      <c r="DX27" s="43">
        <v>125</v>
      </c>
      <c r="DY27" s="43">
        <v>126</v>
      </c>
      <c r="DZ27" s="43">
        <v>127</v>
      </c>
      <c r="EA27" s="43">
        <v>128</v>
      </c>
      <c r="EB27" s="43">
        <v>129</v>
      </c>
      <c r="EC27" s="43">
        <v>130</v>
      </c>
      <c r="ED27" s="43">
        <v>131</v>
      </c>
      <c r="EE27" s="43">
        <v>132</v>
      </c>
      <c r="EF27" s="43">
        <v>133</v>
      </c>
      <c r="EG27" s="43">
        <v>134</v>
      </c>
      <c r="EH27" s="43">
        <v>135</v>
      </c>
      <c r="EI27" s="43">
        <v>136</v>
      </c>
      <c r="EJ27" s="43">
        <v>137</v>
      </c>
      <c r="EK27" s="43">
        <v>138</v>
      </c>
      <c r="EL27" s="43">
        <v>139</v>
      </c>
    </row>
    <row r="28" spans="1:142" s="59" customFormat="1">
      <c r="B28" s="62" t="s">
        <v>40</v>
      </c>
      <c r="C28" s="61">
        <f>InititalAssetMix!$C$5</f>
        <v>0.51090000000000002</v>
      </c>
      <c r="D28" s="114">
        <f>$C28+($G28-$C28)*D$27/$G$27</f>
        <v>0.4818113761767181</v>
      </c>
      <c r="E28" s="61">
        <f t="shared" ref="D28:F31" si="15">$C28+($G28-$C28)*E$27/$G$27</f>
        <v>0.45272275235343618</v>
      </c>
      <c r="F28" s="61">
        <f t="shared" si="15"/>
        <v>0.4236341285301542</v>
      </c>
      <c r="G28" s="60">
        <f>SUMPRODUCT(AssetAssump!$D$6:$D$28,N(AssetAssump!$B$6:$B$28=$B28))</f>
        <v>0.39454550470687227</v>
      </c>
      <c r="H28" s="60">
        <f>SUMPRODUCT(AssetAssump!$D$6:$D$28,N(AssetAssump!$B$6:$B$28=$B28))</f>
        <v>0.39454550470687227</v>
      </c>
      <c r="I28" s="60">
        <f>SUMPRODUCT(AssetAssump!$D$6:$D$28,N(AssetAssump!$B$6:$B$28=$B28))</f>
        <v>0.39454550470687227</v>
      </c>
      <c r="J28" s="60">
        <f>SUMPRODUCT(AssetAssump!$D$6:$D$28,N(AssetAssump!$B$6:$B$28=$B28))</f>
        <v>0.39454550470687227</v>
      </c>
      <c r="K28" s="60">
        <f>SUMPRODUCT(AssetAssump!$D$6:$D$28,N(AssetAssump!$B$6:$B$28=$B28))</f>
        <v>0.39454550470687227</v>
      </c>
      <c r="L28" s="60">
        <f>SUMPRODUCT(AssetAssump!$D$6:$D$28,N(AssetAssump!$B$6:$B$28=$B28))</f>
        <v>0.39454550470687227</v>
      </c>
      <c r="M28" s="60">
        <f>SUMPRODUCT(AssetAssump!$D$6:$D$28,N(AssetAssump!$B$6:$B$28=$B28))</f>
        <v>0.39454550470687227</v>
      </c>
      <c r="N28" s="60">
        <f>SUMPRODUCT(AssetAssump!$D$6:$D$28,N(AssetAssump!$B$6:$B$28=$B28))</f>
        <v>0.39454550470687227</v>
      </c>
      <c r="O28" s="60">
        <f>SUMPRODUCT(AssetAssump!$D$6:$D$28,N(AssetAssump!$B$6:$B$28=$B28))</f>
        <v>0.39454550470687227</v>
      </c>
      <c r="P28" s="60">
        <f>SUMPRODUCT(AssetAssump!$D$6:$D$28,N(AssetAssump!$B$6:$B$28=$B28))</f>
        <v>0.39454550470687227</v>
      </c>
      <c r="Q28" s="60">
        <f>SUMPRODUCT(AssetAssump!$D$6:$D$28,N(AssetAssump!$B$6:$B$28=$B28))</f>
        <v>0.39454550470687227</v>
      </c>
      <c r="R28" s="60">
        <f>SUMPRODUCT(AssetAssump!$D$6:$D$28,N(AssetAssump!$B$6:$B$28=$B28))</f>
        <v>0.39454550470687227</v>
      </c>
      <c r="S28" s="60">
        <f>SUMPRODUCT(AssetAssump!$D$6:$D$28,N(AssetAssump!$B$6:$B$28=$B28))</f>
        <v>0.39454550470687227</v>
      </c>
      <c r="T28" s="60">
        <f>SUMPRODUCT(AssetAssump!$D$6:$D$28,N(AssetAssump!$B$6:$B$28=$B28))</f>
        <v>0.39454550470687227</v>
      </c>
      <c r="U28" s="60">
        <f>SUMPRODUCT(AssetAssump!$D$6:$D$28,N(AssetAssump!$B$6:$B$28=$B28))</f>
        <v>0.39454550470687227</v>
      </c>
      <c r="V28" s="60">
        <f>SUMPRODUCT(AssetAssump!$D$6:$D$28,N(AssetAssump!$B$6:$B$28=$B28))</f>
        <v>0.39454550470687227</v>
      </c>
      <c r="W28" s="60">
        <f>SUMPRODUCT(AssetAssump!$D$6:$D$28,N(AssetAssump!$B$6:$B$28=$B28))</f>
        <v>0.39454550470687227</v>
      </c>
      <c r="X28" s="60">
        <f>SUMPRODUCT(AssetAssump!$D$6:$D$28,N(AssetAssump!$B$6:$B$28=$B28))</f>
        <v>0.39454550470687227</v>
      </c>
      <c r="Y28" s="60">
        <f>SUMPRODUCT(AssetAssump!$D$6:$D$28,N(AssetAssump!$B$6:$B$28=$B28))</f>
        <v>0.39454550470687227</v>
      </c>
      <c r="Z28" s="60">
        <f>SUMPRODUCT(AssetAssump!$D$6:$D$28,N(AssetAssump!$B$6:$B$28=$B28))</f>
        <v>0.39454550470687227</v>
      </c>
      <c r="AA28" s="60">
        <f>SUMPRODUCT(AssetAssump!$D$6:$D$28,N(AssetAssump!$B$6:$B$28=$B28))</f>
        <v>0.39454550470687227</v>
      </c>
      <c r="AB28" s="60">
        <f>SUMPRODUCT(AssetAssump!$D$6:$D$28,N(AssetAssump!$B$6:$B$28=$B28))</f>
        <v>0.39454550470687227</v>
      </c>
      <c r="AC28" s="60">
        <f>SUMPRODUCT(AssetAssump!$D$6:$D$28,N(AssetAssump!$B$6:$B$28=$B28))</f>
        <v>0.39454550470687227</v>
      </c>
      <c r="AD28" s="60">
        <f>SUMPRODUCT(AssetAssump!$D$6:$D$28,N(AssetAssump!$B$6:$B$28=$B28))</f>
        <v>0.39454550470687227</v>
      </c>
      <c r="AE28" s="60">
        <f>SUMPRODUCT(AssetAssump!$D$6:$D$28,N(AssetAssump!$B$6:$B$28=$B28))</f>
        <v>0.39454550470687227</v>
      </c>
      <c r="AF28" s="60">
        <f>SUMPRODUCT(AssetAssump!$D$6:$D$28,N(AssetAssump!$B$6:$B$28=$B28))</f>
        <v>0.39454550470687227</v>
      </c>
      <c r="AG28" s="60">
        <f>SUMPRODUCT(AssetAssump!$D$6:$D$28,N(AssetAssump!$B$6:$B$28=$B28))</f>
        <v>0.39454550470687227</v>
      </c>
      <c r="AH28" s="60">
        <f>SUMPRODUCT(AssetAssump!$D$6:$D$28,N(AssetAssump!$B$6:$B$28=$B28))</f>
        <v>0.39454550470687227</v>
      </c>
      <c r="AI28" s="60">
        <f>SUMPRODUCT(AssetAssump!$D$6:$D$28,N(AssetAssump!$B$6:$B$28=$B28))</f>
        <v>0.39454550470687227</v>
      </c>
      <c r="AJ28" s="60">
        <f>SUMPRODUCT(AssetAssump!$D$6:$D$28,N(AssetAssump!$B$6:$B$28=$B28))</f>
        <v>0.39454550470687227</v>
      </c>
      <c r="AK28" s="60">
        <f>SUMPRODUCT(AssetAssump!$D$6:$D$28,N(AssetAssump!$B$6:$B$28=$B28))</f>
        <v>0.39454550470687227</v>
      </c>
      <c r="AL28" s="60">
        <f>SUMPRODUCT(AssetAssump!$D$6:$D$28,N(AssetAssump!$B$6:$B$28=$B28))</f>
        <v>0.39454550470687227</v>
      </c>
      <c r="AM28" s="60">
        <f>SUMPRODUCT(AssetAssump!$D$6:$D$28,N(AssetAssump!$B$6:$B$28=$B28))</f>
        <v>0.39454550470687227</v>
      </c>
      <c r="AN28" s="60">
        <f>SUMPRODUCT(AssetAssump!$D$6:$D$28,N(AssetAssump!$B$6:$B$28=$B28))</f>
        <v>0.39454550470687227</v>
      </c>
      <c r="AO28" s="60">
        <f>SUMPRODUCT(AssetAssump!$D$6:$D$28,N(AssetAssump!$B$6:$B$28=$B28))</f>
        <v>0.39454550470687227</v>
      </c>
      <c r="AP28" s="60">
        <f>SUMPRODUCT(AssetAssump!$D$6:$D$28,N(AssetAssump!$B$6:$B$28=$B28))</f>
        <v>0.39454550470687227</v>
      </c>
      <c r="AQ28" s="60">
        <f>SUMPRODUCT(AssetAssump!$D$6:$D$28,N(AssetAssump!$B$6:$B$28=$B28))</f>
        <v>0.39454550470687227</v>
      </c>
      <c r="AR28" s="60">
        <f>SUMPRODUCT(AssetAssump!$D$6:$D$28,N(AssetAssump!$B$6:$B$28=$B28))</f>
        <v>0.39454550470687227</v>
      </c>
      <c r="AS28" s="60">
        <f>SUMPRODUCT(AssetAssump!$D$6:$D$28,N(AssetAssump!$B$6:$B$28=$B28))</f>
        <v>0.39454550470687227</v>
      </c>
      <c r="AT28" s="60">
        <f>SUMPRODUCT(AssetAssump!$D$6:$D$28,N(AssetAssump!$B$6:$B$28=$B28))</f>
        <v>0.39454550470687227</v>
      </c>
      <c r="AU28" s="60">
        <f>SUMPRODUCT(AssetAssump!$D$6:$D$28,N(AssetAssump!$B$6:$B$28=$B28))</f>
        <v>0.39454550470687227</v>
      </c>
      <c r="AV28" s="60">
        <f>SUMPRODUCT(AssetAssump!$D$6:$D$28,N(AssetAssump!$B$6:$B$28=$B28))</f>
        <v>0.39454550470687227</v>
      </c>
      <c r="AW28" s="60">
        <f>SUMPRODUCT(AssetAssump!$D$6:$D$28,N(AssetAssump!$B$6:$B$28=$B28))</f>
        <v>0.39454550470687227</v>
      </c>
      <c r="AX28" s="60">
        <f>SUMPRODUCT(AssetAssump!$D$6:$D$28,N(AssetAssump!$B$6:$B$28=$B28))</f>
        <v>0.39454550470687227</v>
      </c>
      <c r="AY28" s="60">
        <f>SUMPRODUCT(AssetAssump!$D$6:$D$28,N(AssetAssump!$B$6:$B$28=$B28))</f>
        <v>0.39454550470687227</v>
      </c>
      <c r="AZ28" s="60">
        <f>SUMPRODUCT(AssetAssump!$D$6:$D$28,N(AssetAssump!$B$6:$B$28=$B28))</f>
        <v>0.39454550470687227</v>
      </c>
      <c r="BA28" s="60">
        <f>SUMPRODUCT(AssetAssump!$D$6:$D$28,N(AssetAssump!$B$6:$B$28=$B28))</f>
        <v>0.39454550470687227</v>
      </c>
      <c r="BB28" s="60">
        <f>SUMPRODUCT(AssetAssump!$D$6:$D$28,N(AssetAssump!$B$6:$B$28=$B28))</f>
        <v>0.39454550470687227</v>
      </c>
      <c r="BC28" s="60">
        <f>SUMPRODUCT(AssetAssump!$D$6:$D$28,N(AssetAssump!$B$6:$B$28=$B28))</f>
        <v>0.39454550470687227</v>
      </c>
      <c r="BD28" s="60">
        <f>SUMPRODUCT(AssetAssump!$D$6:$D$28,N(AssetAssump!$B$6:$B$28=$B28))</f>
        <v>0.39454550470687227</v>
      </c>
      <c r="BE28" s="60">
        <f>SUMPRODUCT(AssetAssump!$D$6:$D$28,N(AssetAssump!$B$6:$B$28=$B28))</f>
        <v>0.39454550470687227</v>
      </c>
      <c r="BF28" s="60">
        <f>SUMPRODUCT(AssetAssump!$D$6:$D$28,N(AssetAssump!$B$6:$B$28=$B28))</f>
        <v>0.39454550470687227</v>
      </c>
      <c r="BG28" s="60">
        <f>SUMPRODUCT(AssetAssump!$D$6:$D$28,N(AssetAssump!$B$6:$B$28=$B28))</f>
        <v>0.39454550470687227</v>
      </c>
      <c r="BH28" s="60">
        <f>SUMPRODUCT(AssetAssump!$D$6:$D$28,N(AssetAssump!$B$6:$B$28=$B28))</f>
        <v>0.39454550470687227</v>
      </c>
      <c r="BI28" s="60">
        <f>SUMPRODUCT(AssetAssump!$D$6:$D$28,N(AssetAssump!$B$6:$B$28=$B28))</f>
        <v>0.39454550470687227</v>
      </c>
      <c r="BJ28" s="60">
        <f>SUMPRODUCT(AssetAssump!$D$6:$D$28,N(AssetAssump!$B$6:$B$28=$B28))</f>
        <v>0.39454550470687227</v>
      </c>
      <c r="BK28" s="60">
        <f>SUMPRODUCT(AssetAssump!$D$6:$D$28,N(AssetAssump!$B$6:$B$28=$B28))</f>
        <v>0.39454550470687227</v>
      </c>
      <c r="BL28" s="60">
        <f>SUMPRODUCT(AssetAssump!$D$6:$D$28,N(AssetAssump!$B$6:$B$28=$B28))</f>
        <v>0.39454550470687227</v>
      </c>
      <c r="BM28" s="60">
        <f>SUMPRODUCT(AssetAssump!$D$6:$D$28,N(AssetAssump!$B$6:$B$28=$B28))</f>
        <v>0.39454550470687227</v>
      </c>
      <c r="BN28" s="60">
        <f>SUMPRODUCT(AssetAssump!$D$6:$D$28,N(AssetAssump!$B$6:$B$28=$B28))</f>
        <v>0.39454550470687227</v>
      </c>
      <c r="BO28" s="60">
        <f>SUMPRODUCT(AssetAssump!$D$6:$D$28,N(AssetAssump!$B$6:$B$28=$B28))</f>
        <v>0.39454550470687227</v>
      </c>
      <c r="BP28" s="60">
        <f>SUMPRODUCT(AssetAssump!$D$6:$D$28,N(AssetAssump!$B$6:$B$28=$B28))</f>
        <v>0.39454550470687227</v>
      </c>
      <c r="BQ28" s="60">
        <f>SUMPRODUCT(AssetAssump!$D$6:$D$28,N(AssetAssump!$B$6:$B$28=$B28))</f>
        <v>0.39454550470687227</v>
      </c>
      <c r="BR28" s="60">
        <f>SUMPRODUCT(AssetAssump!$D$6:$D$28,N(AssetAssump!$B$6:$B$28=$B28))</f>
        <v>0.39454550470687227</v>
      </c>
      <c r="BS28" s="60">
        <f>SUMPRODUCT(AssetAssump!$D$6:$D$28,N(AssetAssump!$B$6:$B$28=$B28))</f>
        <v>0.39454550470687227</v>
      </c>
      <c r="BT28" s="60">
        <f>SUMPRODUCT(AssetAssump!$D$6:$D$28,N(AssetAssump!$B$6:$B$28=$B28))</f>
        <v>0.39454550470687227</v>
      </c>
      <c r="BU28" s="60">
        <f>SUMPRODUCT(AssetAssump!$D$6:$D$28,N(AssetAssump!$B$6:$B$28=$B28))</f>
        <v>0.39454550470687227</v>
      </c>
      <c r="BV28" s="60">
        <f>SUMPRODUCT(AssetAssump!$D$6:$D$28,N(AssetAssump!$B$6:$B$28=$B28))</f>
        <v>0.39454550470687227</v>
      </c>
      <c r="BW28" s="60">
        <f>SUMPRODUCT(AssetAssump!$D$6:$D$28,N(AssetAssump!$B$6:$B$28=$B28))</f>
        <v>0.39454550470687227</v>
      </c>
      <c r="BX28" s="60">
        <f>SUMPRODUCT(AssetAssump!$D$6:$D$28,N(AssetAssump!$B$6:$B$28=$B28))</f>
        <v>0.39454550470687227</v>
      </c>
      <c r="BY28" s="60">
        <f>SUMPRODUCT(AssetAssump!$D$6:$D$28,N(AssetAssump!$B$6:$B$28=$B28))</f>
        <v>0.39454550470687227</v>
      </c>
      <c r="BZ28" s="60">
        <f>SUMPRODUCT(AssetAssump!$D$6:$D$28,N(AssetAssump!$B$6:$B$28=$B28))</f>
        <v>0.39454550470687227</v>
      </c>
      <c r="CA28" s="60">
        <f>SUMPRODUCT(AssetAssump!$D$6:$D$28,N(AssetAssump!$B$6:$B$28=$B28))</f>
        <v>0.39454550470687227</v>
      </c>
      <c r="CB28" s="60">
        <f>SUMPRODUCT(AssetAssump!$D$6:$D$28,N(AssetAssump!$B$6:$B$28=$B28))</f>
        <v>0.39454550470687227</v>
      </c>
      <c r="CC28" s="60">
        <f>SUMPRODUCT(AssetAssump!$D$6:$D$28,N(AssetAssump!$B$6:$B$28=$B28))</f>
        <v>0.39454550470687227</v>
      </c>
      <c r="CD28" s="60">
        <f>SUMPRODUCT(AssetAssump!$D$6:$D$28,N(AssetAssump!$B$6:$B$28=$B28))</f>
        <v>0.39454550470687227</v>
      </c>
      <c r="CE28" s="60">
        <f>SUMPRODUCT(AssetAssump!$D$6:$D$28,N(AssetAssump!$B$6:$B$28=$B28))</f>
        <v>0.39454550470687227</v>
      </c>
      <c r="CF28" s="60">
        <f>SUMPRODUCT(AssetAssump!$D$6:$D$28,N(AssetAssump!$B$6:$B$28=$B28))</f>
        <v>0.39454550470687227</v>
      </c>
      <c r="CG28" s="60">
        <f>SUMPRODUCT(AssetAssump!$D$6:$D$28,N(AssetAssump!$B$6:$B$28=$B28))</f>
        <v>0.39454550470687227</v>
      </c>
      <c r="CH28" s="60">
        <f>SUMPRODUCT(AssetAssump!$D$6:$D$28,N(AssetAssump!$B$6:$B$28=$B28))</f>
        <v>0.39454550470687227</v>
      </c>
      <c r="CI28" s="60">
        <f>SUMPRODUCT(AssetAssump!$D$6:$D$28,N(AssetAssump!$B$6:$B$28=$B28))</f>
        <v>0.39454550470687227</v>
      </c>
      <c r="CJ28" s="60">
        <f>SUMPRODUCT(AssetAssump!$D$6:$D$28,N(AssetAssump!$B$6:$B$28=$B28))</f>
        <v>0.39454550470687227</v>
      </c>
      <c r="CK28" s="60">
        <f>SUMPRODUCT(AssetAssump!$D$6:$D$28,N(AssetAssump!$B$6:$B$28=$B28))</f>
        <v>0.39454550470687227</v>
      </c>
      <c r="CL28" s="60">
        <f>SUMPRODUCT(AssetAssump!$D$6:$D$28,N(AssetAssump!$B$6:$B$28=$B28))</f>
        <v>0.39454550470687227</v>
      </c>
      <c r="CM28" s="60">
        <f>SUMPRODUCT(AssetAssump!$D$6:$D$28,N(AssetAssump!$B$6:$B$28=$B28))</f>
        <v>0.39454550470687227</v>
      </c>
      <c r="CN28" s="60">
        <f>SUMPRODUCT(AssetAssump!$D$6:$D$28,N(AssetAssump!$B$6:$B$28=$B28))</f>
        <v>0.39454550470687227</v>
      </c>
      <c r="CO28" s="60">
        <f>SUMPRODUCT(AssetAssump!$D$6:$D$28,N(AssetAssump!$B$6:$B$28=$B28))</f>
        <v>0.39454550470687227</v>
      </c>
      <c r="CP28" s="60">
        <f>SUMPRODUCT(AssetAssump!$D$6:$D$28,N(AssetAssump!$B$6:$B$28=$B28))</f>
        <v>0.39454550470687227</v>
      </c>
      <c r="CQ28" s="60">
        <f>SUMPRODUCT(AssetAssump!$D$6:$D$28,N(AssetAssump!$B$6:$B$28=$B28))</f>
        <v>0.39454550470687227</v>
      </c>
      <c r="CR28" s="60">
        <f>SUMPRODUCT(AssetAssump!$D$6:$D$28,N(AssetAssump!$B$6:$B$28=$B28))</f>
        <v>0.39454550470687227</v>
      </c>
      <c r="CS28" s="60">
        <f>SUMPRODUCT(AssetAssump!$D$6:$D$28,N(AssetAssump!$B$6:$B$28=$B28))</f>
        <v>0.39454550470687227</v>
      </c>
      <c r="CT28" s="60">
        <f>SUMPRODUCT(AssetAssump!$D$6:$D$28,N(AssetAssump!$B$6:$B$28=$B28))</f>
        <v>0.39454550470687227</v>
      </c>
      <c r="CU28" s="60">
        <f>SUMPRODUCT(AssetAssump!$D$6:$D$28,N(AssetAssump!$B$6:$B$28=$B28))</f>
        <v>0.39454550470687227</v>
      </c>
      <c r="CV28" s="60">
        <f>SUMPRODUCT(AssetAssump!$D$6:$D$28,N(AssetAssump!$B$6:$B$28=$B28))</f>
        <v>0.39454550470687227</v>
      </c>
      <c r="CW28" s="60">
        <f>SUMPRODUCT(AssetAssump!$D$6:$D$28,N(AssetAssump!$B$6:$B$28=$B28))</f>
        <v>0.39454550470687227</v>
      </c>
      <c r="CX28" s="60">
        <f>SUMPRODUCT(AssetAssump!$D$6:$D$28,N(AssetAssump!$B$6:$B$28=$B28))</f>
        <v>0.39454550470687227</v>
      </c>
      <c r="CY28" s="60">
        <f>SUMPRODUCT(AssetAssump!$D$6:$D$28,N(AssetAssump!$B$6:$B$28=$B28))</f>
        <v>0.39454550470687227</v>
      </c>
      <c r="CZ28" s="60">
        <f>SUMPRODUCT(AssetAssump!$D$6:$D$28,N(AssetAssump!$B$6:$B$28=$B28))</f>
        <v>0.39454550470687227</v>
      </c>
      <c r="DA28" s="60">
        <f>SUMPRODUCT(AssetAssump!$D$6:$D$28,N(AssetAssump!$B$6:$B$28=$B28))</f>
        <v>0.39454550470687227</v>
      </c>
      <c r="DB28" s="60">
        <f>SUMPRODUCT(AssetAssump!$D$6:$D$28,N(AssetAssump!$B$6:$B$28=$B28))</f>
        <v>0.39454550470687227</v>
      </c>
      <c r="DC28" s="60">
        <f>SUMPRODUCT(AssetAssump!$D$6:$D$28,N(AssetAssump!$B$6:$B$28=$B28))</f>
        <v>0.39454550470687227</v>
      </c>
      <c r="DD28" s="60">
        <f>SUMPRODUCT(AssetAssump!$D$6:$D$28,N(AssetAssump!$B$6:$B$28=$B28))</f>
        <v>0.39454550470687227</v>
      </c>
      <c r="DE28" s="60">
        <f>SUMPRODUCT(AssetAssump!$D$6:$D$28,N(AssetAssump!$B$6:$B$28=$B28))</f>
        <v>0.39454550470687227</v>
      </c>
      <c r="DF28" s="60">
        <f>SUMPRODUCT(AssetAssump!$D$6:$D$28,N(AssetAssump!$B$6:$B$28=$B28))</f>
        <v>0.39454550470687227</v>
      </c>
      <c r="DG28" s="60">
        <f>SUMPRODUCT(AssetAssump!$D$6:$D$28,N(AssetAssump!$B$6:$B$28=$B28))</f>
        <v>0.39454550470687227</v>
      </c>
      <c r="DH28" s="60">
        <f>SUMPRODUCT(AssetAssump!$D$6:$D$28,N(AssetAssump!$B$6:$B$28=$B28))</f>
        <v>0.39454550470687227</v>
      </c>
      <c r="DI28" s="60">
        <f>SUMPRODUCT(AssetAssump!$D$6:$D$28,N(AssetAssump!$B$6:$B$28=$B28))</f>
        <v>0.39454550470687227</v>
      </c>
      <c r="DJ28" s="60">
        <f>SUMPRODUCT(AssetAssump!$D$6:$D$28,N(AssetAssump!$B$6:$B$28=$B28))</f>
        <v>0.39454550470687227</v>
      </c>
      <c r="DK28" s="60">
        <f>SUMPRODUCT(AssetAssump!$D$6:$D$28,N(AssetAssump!$B$6:$B$28=$B28))</f>
        <v>0.39454550470687227</v>
      </c>
      <c r="DL28" s="60">
        <f>SUMPRODUCT(AssetAssump!$D$6:$D$28,N(AssetAssump!$B$6:$B$28=$B28))</f>
        <v>0.39454550470687227</v>
      </c>
      <c r="DM28" s="60">
        <f>SUMPRODUCT(AssetAssump!$D$6:$D$28,N(AssetAssump!$B$6:$B$28=$B28))</f>
        <v>0.39454550470687227</v>
      </c>
      <c r="DN28" s="60">
        <f>SUMPRODUCT(AssetAssump!$D$6:$D$28,N(AssetAssump!$B$6:$B$28=$B28))</f>
        <v>0.39454550470687227</v>
      </c>
      <c r="DO28" s="60">
        <f>SUMPRODUCT(AssetAssump!$D$6:$D$28,N(AssetAssump!$B$6:$B$28=$B28))</f>
        <v>0.39454550470687227</v>
      </c>
      <c r="DP28" s="60">
        <f>SUMPRODUCT(AssetAssump!$D$6:$D$28,N(AssetAssump!$B$6:$B$28=$B28))</f>
        <v>0.39454550470687227</v>
      </c>
      <c r="DQ28" s="60">
        <f>SUMPRODUCT(AssetAssump!$D$6:$D$28,N(AssetAssump!$B$6:$B$28=$B28))</f>
        <v>0.39454550470687227</v>
      </c>
      <c r="DR28" s="60">
        <f>SUMPRODUCT(AssetAssump!$D$6:$D$28,N(AssetAssump!$B$6:$B$28=$B28))</f>
        <v>0.39454550470687227</v>
      </c>
      <c r="DS28" s="60">
        <f>SUMPRODUCT(AssetAssump!$D$6:$D$28,N(AssetAssump!$B$6:$B$28=$B28))</f>
        <v>0.39454550470687227</v>
      </c>
      <c r="DT28" s="60">
        <f>SUMPRODUCT(AssetAssump!$D$6:$D$28,N(AssetAssump!$B$6:$B$28=$B28))</f>
        <v>0.39454550470687227</v>
      </c>
      <c r="DU28" s="60">
        <f>SUMPRODUCT(AssetAssump!$D$6:$D$28,N(AssetAssump!$B$6:$B$28=$B28))</f>
        <v>0.39454550470687227</v>
      </c>
      <c r="DV28" s="60">
        <f>SUMPRODUCT(AssetAssump!$D$6:$D$28,N(AssetAssump!$B$6:$B$28=$B28))</f>
        <v>0.39454550470687227</v>
      </c>
      <c r="DW28" s="60">
        <f>SUMPRODUCT(AssetAssump!$D$6:$D$28,N(AssetAssump!$B$6:$B$28=$B28))</f>
        <v>0.39454550470687227</v>
      </c>
      <c r="DX28" s="60">
        <f>SUMPRODUCT(AssetAssump!$D$6:$D$28,N(AssetAssump!$B$6:$B$28=$B28))</f>
        <v>0.39454550470687227</v>
      </c>
      <c r="DY28" s="60">
        <f>SUMPRODUCT(AssetAssump!$D$6:$D$28,N(AssetAssump!$B$6:$B$28=$B28))</f>
        <v>0.39454550470687227</v>
      </c>
      <c r="DZ28" s="60">
        <f>SUMPRODUCT(AssetAssump!$D$6:$D$28,N(AssetAssump!$B$6:$B$28=$B28))</f>
        <v>0.39454550470687227</v>
      </c>
      <c r="EA28" s="60">
        <f>SUMPRODUCT(AssetAssump!$D$6:$D$28,N(AssetAssump!$B$6:$B$28=$B28))</f>
        <v>0.39454550470687227</v>
      </c>
      <c r="EB28" s="60">
        <f>SUMPRODUCT(AssetAssump!$D$6:$D$28,N(AssetAssump!$B$6:$B$28=$B28))</f>
        <v>0.39454550470687227</v>
      </c>
      <c r="EC28" s="60">
        <f>SUMPRODUCT(AssetAssump!$D$6:$D$28,N(AssetAssump!$B$6:$B$28=$B28))</f>
        <v>0.39454550470687227</v>
      </c>
      <c r="ED28" s="60">
        <f>SUMPRODUCT(AssetAssump!$D$6:$D$28,N(AssetAssump!$B$6:$B$28=$B28))</f>
        <v>0.39454550470687227</v>
      </c>
      <c r="EE28" s="60">
        <f>SUMPRODUCT(AssetAssump!$D$6:$D$28,N(AssetAssump!$B$6:$B$28=$B28))</f>
        <v>0.39454550470687227</v>
      </c>
      <c r="EF28" s="60">
        <f>SUMPRODUCT(AssetAssump!$D$6:$D$28,N(AssetAssump!$B$6:$B$28=$B28))</f>
        <v>0.39454550470687227</v>
      </c>
      <c r="EG28" s="60">
        <f>SUMPRODUCT(AssetAssump!$D$6:$D$28,N(AssetAssump!$B$6:$B$28=$B28))</f>
        <v>0.39454550470687227</v>
      </c>
      <c r="EH28" s="60">
        <f>SUMPRODUCT(AssetAssump!$D$6:$D$28,N(AssetAssump!$B$6:$B$28=$B28))</f>
        <v>0.39454550470687227</v>
      </c>
      <c r="EI28" s="60">
        <f>SUMPRODUCT(AssetAssump!$D$6:$D$28,N(AssetAssump!$B$6:$B$28=$B28))</f>
        <v>0.39454550470687227</v>
      </c>
      <c r="EJ28" s="60">
        <f>SUMPRODUCT(AssetAssump!$D$6:$D$28,N(AssetAssump!$B$6:$B$28=$B28))</f>
        <v>0.39454550470687227</v>
      </c>
      <c r="EK28" s="60">
        <f>SUMPRODUCT(AssetAssump!$D$6:$D$28,N(AssetAssump!$B$6:$B$28=$B28))</f>
        <v>0.39454550470687227</v>
      </c>
      <c r="EL28" s="60">
        <f>SUMPRODUCT(AssetAssump!$D$6:$D$28,N(AssetAssump!$B$6:$B$28=$B28))</f>
        <v>0.39454550470687227</v>
      </c>
    </row>
    <row r="29" spans="1:142" s="59" customFormat="1">
      <c r="B29" s="62" t="s">
        <v>39</v>
      </c>
      <c r="C29" s="61">
        <f>InititalAssetMix!$C$6</f>
        <v>0.41510000000000002</v>
      </c>
      <c r="D29" s="61">
        <f t="shared" si="15"/>
        <v>0.39695799615355687</v>
      </c>
      <c r="E29" s="61">
        <f t="shared" si="15"/>
        <v>0.37881599230711371</v>
      </c>
      <c r="F29" s="61">
        <f t="shared" si="15"/>
        <v>0.36067398846067056</v>
      </c>
      <c r="G29" s="60">
        <f>SUMPRODUCT(AssetAssump!$D$6:$D$28,N(AssetAssump!$B$6:$B$28=$B29))</f>
        <v>0.3425319846142274</v>
      </c>
      <c r="H29" s="60">
        <f>SUMPRODUCT(AssetAssump!$D$6:$D$28,N(AssetAssump!$B$6:$B$28=$B29))</f>
        <v>0.3425319846142274</v>
      </c>
      <c r="I29" s="60">
        <f>SUMPRODUCT(AssetAssump!$D$6:$D$28,N(AssetAssump!$B$6:$B$28=$B29))</f>
        <v>0.3425319846142274</v>
      </c>
      <c r="J29" s="60">
        <f>SUMPRODUCT(AssetAssump!$D$6:$D$28,N(AssetAssump!$B$6:$B$28=$B29))</f>
        <v>0.3425319846142274</v>
      </c>
      <c r="K29" s="60">
        <f>SUMPRODUCT(AssetAssump!$D$6:$D$28,N(AssetAssump!$B$6:$B$28=$B29))</f>
        <v>0.3425319846142274</v>
      </c>
      <c r="L29" s="60">
        <f>SUMPRODUCT(AssetAssump!$D$6:$D$28,N(AssetAssump!$B$6:$B$28=$B29))</f>
        <v>0.3425319846142274</v>
      </c>
      <c r="M29" s="60">
        <f>SUMPRODUCT(AssetAssump!$D$6:$D$28,N(AssetAssump!$B$6:$B$28=$B29))</f>
        <v>0.3425319846142274</v>
      </c>
      <c r="N29" s="60">
        <f>SUMPRODUCT(AssetAssump!$D$6:$D$28,N(AssetAssump!$B$6:$B$28=$B29))</f>
        <v>0.3425319846142274</v>
      </c>
      <c r="O29" s="60">
        <f>SUMPRODUCT(AssetAssump!$D$6:$D$28,N(AssetAssump!$B$6:$B$28=$B29))</f>
        <v>0.3425319846142274</v>
      </c>
      <c r="P29" s="60">
        <f>SUMPRODUCT(AssetAssump!$D$6:$D$28,N(AssetAssump!$B$6:$B$28=$B29))</f>
        <v>0.3425319846142274</v>
      </c>
      <c r="Q29" s="60">
        <f>SUMPRODUCT(AssetAssump!$D$6:$D$28,N(AssetAssump!$B$6:$B$28=$B29))</f>
        <v>0.3425319846142274</v>
      </c>
      <c r="R29" s="60">
        <f>SUMPRODUCT(AssetAssump!$D$6:$D$28,N(AssetAssump!$B$6:$B$28=$B29))</f>
        <v>0.3425319846142274</v>
      </c>
      <c r="S29" s="60">
        <f>SUMPRODUCT(AssetAssump!$D$6:$D$28,N(AssetAssump!$B$6:$B$28=$B29))</f>
        <v>0.3425319846142274</v>
      </c>
      <c r="T29" s="60">
        <f>SUMPRODUCT(AssetAssump!$D$6:$D$28,N(AssetAssump!$B$6:$B$28=$B29))</f>
        <v>0.3425319846142274</v>
      </c>
      <c r="U29" s="60">
        <f>SUMPRODUCT(AssetAssump!$D$6:$D$28,N(AssetAssump!$B$6:$B$28=$B29))</f>
        <v>0.3425319846142274</v>
      </c>
      <c r="V29" s="60">
        <f>SUMPRODUCT(AssetAssump!$D$6:$D$28,N(AssetAssump!$B$6:$B$28=$B29))</f>
        <v>0.3425319846142274</v>
      </c>
      <c r="W29" s="60">
        <f>SUMPRODUCT(AssetAssump!$D$6:$D$28,N(AssetAssump!$B$6:$B$28=$B29))</f>
        <v>0.3425319846142274</v>
      </c>
      <c r="X29" s="60">
        <f>SUMPRODUCT(AssetAssump!$D$6:$D$28,N(AssetAssump!$B$6:$B$28=$B29))</f>
        <v>0.3425319846142274</v>
      </c>
      <c r="Y29" s="60">
        <f>SUMPRODUCT(AssetAssump!$D$6:$D$28,N(AssetAssump!$B$6:$B$28=$B29))</f>
        <v>0.3425319846142274</v>
      </c>
      <c r="Z29" s="60">
        <f>SUMPRODUCT(AssetAssump!$D$6:$D$28,N(AssetAssump!$B$6:$B$28=$B29))</f>
        <v>0.3425319846142274</v>
      </c>
      <c r="AA29" s="60">
        <f>SUMPRODUCT(AssetAssump!$D$6:$D$28,N(AssetAssump!$B$6:$B$28=$B29))</f>
        <v>0.3425319846142274</v>
      </c>
      <c r="AB29" s="60">
        <f>SUMPRODUCT(AssetAssump!$D$6:$D$28,N(AssetAssump!$B$6:$B$28=$B29))</f>
        <v>0.3425319846142274</v>
      </c>
      <c r="AC29" s="60">
        <f>SUMPRODUCT(AssetAssump!$D$6:$D$28,N(AssetAssump!$B$6:$B$28=$B29))</f>
        <v>0.3425319846142274</v>
      </c>
      <c r="AD29" s="60">
        <f>SUMPRODUCT(AssetAssump!$D$6:$D$28,N(AssetAssump!$B$6:$B$28=$B29))</f>
        <v>0.3425319846142274</v>
      </c>
      <c r="AE29" s="60">
        <f>SUMPRODUCT(AssetAssump!$D$6:$D$28,N(AssetAssump!$B$6:$B$28=$B29))</f>
        <v>0.3425319846142274</v>
      </c>
      <c r="AF29" s="60">
        <f>SUMPRODUCT(AssetAssump!$D$6:$D$28,N(AssetAssump!$B$6:$B$28=$B29))</f>
        <v>0.3425319846142274</v>
      </c>
      <c r="AG29" s="60">
        <f>SUMPRODUCT(AssetAssump!$D$6:$D$28,N(AssetAssump!$B$6:$B$28=$B29))</f>
        <v>0.3425319846142274</v>
      </c>
      <c r="AH29" s="60">
        <f>SUMPRODUCT(AssetAssump!$D$6:$D$28,N(AssetAssump!$B$6:$B$28=$B29))</f>
        <v>0.3425319846142274</v>
      </c>
      <c r="AI29" s="60">
        <f>SUMPRODUCT(AssetAssump!$D$6:$D$28,N(AssetAssump!$B$6:$B$28=$B29))</f>
        <v>0.3425319846142274</v>
      </c>
      <c r="AJ29" s="60">
        <f>SUMPRODUCT(AssetAssump!$D$6:$D$28,N(AssetAssump!$B$6:$B$28=$B29))</f>
        <v>0.3425319846142274</v>
      </c>
      <c r="AK29" s="60">
        <f>SUMPRODUCT(AssetAssump!$D$6:$D$28,N(AssetAssump!$B$6:$B$28=$B29))</f>
        <v>0.3425319846142274</v>
      </c>
      <c r="AL29" s="60">
        <f>SUMPRODUCT(AssetAssump!$D$6:$D$28,N(AssetAssump!$B$6:$B$28=$B29))</f>
        <v>0.3425319846142274</v>
      </c>
      <c r="AM29" s="60">
        <f>SUMPRODUCT(AssetAssump!$D$6:$D$28,N(AssetAssump!$B$6:$B$28=$B29))</f>
        <v>0.3425319846142274</v>
      </c>
      <c r="AN29" s="60">
        <f>SUMPRODUCT(AssetAssump!$D$6:$D$28,N(AssetAssump!$B$6:$B$28=$B29))</f>
        <v>0.3425319846142274</v>
      </c>
      <c r="AO29" s="60">
        <f>SUMPRODUCT(AssetAssump!$D$6:$D$28,N(AssetAssump!$B$6:$B$28=$B29))</f>
        <v>0.3425319846142274</v>
      </c>
      <c r="AP29" s="60">
        <f>SUMPRODUCT(AssetAssump!$D$6:$D$28,N(AssetAssump!$B$6:$B$28=$B29))</f>
        <v>0.3425319846142274</v>
      </c>
      <c r="AQ29" s="60">
        <f>SUMPRODUCT(AssetAssump!$D$6:$D$28,N(AssetAssump!$B$6:$B$28=$B29))</f>
        <v>0.3425319846142274</v>
      </c>
      <c r="AR29" s="60">
        <f>SUMPRODUCT(AssetAssump!$D$6:$D$28,N(AssetAssump!$B$6:$B$28=$B29))</f>
        <v>0.3425319846142274</v>
      </c>
      <c r="AS29" s="60">
        <f>SUMPRODUCT(AssetAssump!$D$6:$D$28,N(AssetAssump!$B$6:$B$28=$B29))</f>
        <v>0.3425319846142274</v>
      </c>
      <c r="AT29" s="60">
        <f>SUMPRODUCT(AssetAssump!$D$6:$D$28,N(AssetAssump!$B$6:$B$28=$B29))</f>
        <v>0.3425319846142274</v>
      </c>
      <c r="AU29" s="60">
        <f>SUMPRODUCT(AssetAssump!$D$6:$D$28,N(AssetAssump!$B$6:$B$28=$B29))</f>
        <v>0.3425319846142274</v>
      </c>
      <c r="AV29" s="60">
        <f>SUMPRODUCT(AssetAssump!$D$6:$D$28,N(AssetAssump!$B$6:$B$28=$B29))</f>
        <v>0.3425319846142274</v>
      </c>
      <c r="AW29" s="60">
        <f>SUMPRODUCT(AssetAssump!$D$6:$D$28,N(AssetAssump!$B$6:$B$28=$B29))</f>
        <v>0.3425319846142274</v>
      </c>
      <c r="AX29" s="60">
        <f>SUMPRODUCT(AssetAssump!$D$6:$D$28,N(AssetAssump!$B$6:$B$28=$B29))</f>
        <v>0.3425319846142274</v>
      </c>
      <c r="AY29" s="60">
        <f>SUMPRODUCT(AssetAssump!$D$6:$D$28,N(AssetAssump!$B$6:$B$28=$B29))</f>
        <v>0.3425319846142274</v>
      </c>
      <c r="AZ29" s="60">
        <f>SUMPRODUCT(AssetAssump!$D$6:$D$28,N(AssetAssump!$B$6:$B$28=$B29))</f>
        <v>0.3425319846142274</v>
      </c>
      <c r="BA29" s="60">
        <f>SUMPRODUCT(AssetAssump!$D$6:$D$28,N(AssetAssump!$B$6:$B$28=$B29))</f>
        <v>0.3425319846142274</v>
      </c>
      <c r="BB29" s="60">
        <f>SUMPRODUCT(AssetAssump!$D$6:$D$28,N(AssetAssump!$B$6:$B$28=$B29))</f>
        <v>0.3425319846142274</v>
      </c>
      <c r="BC29" s="60">
        <f>SUMPRODUCT(AssetAssump!$D$6:$D$28,N(AssetAssump!$B$6:$B$28=$B29))</f>
        <v>0.3425319846142274</v>
      </c>
      <c r="BD29" s="60">
        <f>SUMPRODUCT(AssetAssump!$D$6:$D$28,N(AssetAssump!$B$6:$B$28=$B29))</f>
        <v>0.3425319846142274</v>
      </c>
      <c r="BE29" s="60">
        <f>SUMPRODUCT(AssetAssump!$D$6:$D$28,N(AssetAssump!$B$6:$B$28=$B29))</f>
        <v>0.3425319846142274</v>
      </c>
      <c r="BF29" s="60">
        <f>SUMPRODUCT(AssetAssump!$D$6:$D$28,N(AssetAssump!$B$6:$B$28=$B29))</f>
        <v>0.3425319846142274</v>
      </c>
      <c r="BG29" s="60">
        <f>SUMPRODUCT(AssetAssump!$D$6:$D$28,N(AssetAssump!$B$6:$B$28=$B29))</f>
        <v>0.3425319846142274</v>
      </c>
      <c r="BH29" s="60">
        <f>SUMPRODUCT(AssetAssump!$D$6:$D$28,N(AssetAssump!$B$6:$B$28=$B29))</f>
        <v>0.3425319846142274</v>
      </c>
      <c r="BI29" s="60">
        <f>SUMPRODUCT(AssetAssump!$D$6:$D$28,N(AssetAssump!$B$6:$B$28=$B29))</f>
        <v>0.3425319846142274</v>
      </c>
      <c r="BJ29" s="60">
        <f>SUMPRODUCT(AssetAssump!$D$6:$D$28,N(AssetAssump!$B$6:$B$28=$B29))</f>
        <v>0.3425319846142274</v>
      </c>
      <c r="BK29" s="60">
        <f>SUMPRODUCT(AssetAssump!$D$6:$D$28,N(AssetAssump!$B$6:$B$28=$B29))</f>
        <v>0.3425319846142274</v>
      </c>
      <c r="BL29" s="60">
        <f>SUMPRODUCT(AssetAssump!$D$6:$D$28,N(AssetAssump!$B$6:$B$28=$B29))</f>
        <v>0.3425319846142274</v>
      </c>
      <c r="BM29" s="60">
        <f>SUMPRODUCT(AssetAssump!$D$6:$D$28,N(AssetAssump!$B$6:$B$28=$B29))</f>
        <v>0.3425319846142274</v>
      </c>
      <c r="BN29" s="60">
        <f>SUMPRODUCT(AssetAssump!$D$6:$D$28,N(AssetAssump!$B$6:$B$28=$B29))</f>
        <v>0.3425319846142274</v>
      </c>
      <c r="BO29" s="60">
        <f>SUMPRODUCT(AssetAssump!$D$6:$D$28,N(AssetAssump!$B$6:$B$28=$B29))</f>
        <v>0.3425319846142274</v>
      </c>
      <c r="BP29" s="60">
        <f>SUMPRODUCT(AssetAssump!$D$6:$D$28,N(AssetAssump!$B$6:$B$28=$B29))</f>
        <v>0.3425319846142274</v>
      </c>
      <c r="BQ29" s="60">
        <f>SUMPRODUCT(AssetAssump!$D$6:$D$28,N(AssetAssump!$B$6:$B$28=$B29))</f>
        <v>0.3425319846142274</v>
      </c>
      <c r="BR29" s="60">
        <f>SUMPRODUCT(AssetAssump!$D$6:$D$28,N(AssetAssump!$B$6:$B$28=$B29))</f>
        <v>0.3425319846142274</v>
      </c>
      <c r="BS29" s="60">
        <f>SUMPRODUCT(AssetAssump!$D$6:$D$28,N(AssetAssump!$B$6:$B$28=$B29))</f>
        <v>0.3425319846142274</v>
      </c>
      <c r="BT29" s="60">
        <f>SUMPRODUCT(AssetAssump!$D$6:$D$28,N(AssetAssump!$B$6:$B$28=$B29))</f>
        <v>0.3425319846142274</v>
      </c>
      <c r="BU29" s="60">
        <f>SUMPRODUCT(AssetAssump!$D$6:$D$28,N(AssetAssump!$B$6:$B$28=$B29))</f>
        <v>0.3425319846142274</v>
      </c>
      <c r="BV29" s="60">
        <f>SUMPRODUCT(AssetAssump!$D$6:$D$28,N(AssetAssump!$B$6:$B$28=$B29))</f>
        <v>0.3425319846142274</v>
      </c>
      <c r="BW29" s="60">
        <f>SUMPRODUCT(AssetAssump!$D$6:$D$28,N(AssetAssump!$B$6:$B$28=$B29))</f>
        <v>0.3425319846142274</v>
      </c>
      <c r="BX29" s="60">
        <f>SUMPRODUCT(AssetAssump!$D$6:$D$28,N(AssetAssump!$B$6:$B$28=$B29))</f>
        <v>0.3425319846142274</v>
      </c>
      <c r="BY29" s="60">
        <f>SUMPRODUCT(AssetAssump!$D$6:$D$28,N(AssetAssump!$B$6:$B$28=$B29))</f>
        <v>0.3425319846142274</v>
      </c>
      <c r="BZ29" s="60">
        <f>SUMPRODUCT(AssetAssump!$D$6:$D$28,N(AssetAssump!$B$6:$B$28=$B29))</f>
        <v>0.3425319846142274</v>
      </c>
      <c r="CA29" s="60">
        <f>SUMPRODUCT(AssetAssump!$D$6:$D$28,N(AssetAssump!$B$6:$B$28=$B29))</f>
        <v>0.3425319846142274</v>
      </c>
      <c r="CB29" s="60">
        <f>SUMPRODUCT(AssetAssump!$D$6:$D$28,N(AssetAssump!$B$6:$B$28=$B29))</f>
        <v>0.3425319846142274</v>
      </c>
      <c r="CC29" s="60">
        <f>SUMPRODUCT(AssetAssump!$D$6:$D$28,N(AssetAssump!$B$6:$B$28=$B29))</f>
        <v>0.3425319846142274</v>
      </c>
      <c r="CD29" s="60">
        <f>SUMPRODUCT(AssetAssump!$D$6:$D$28,N(AssetAssump!$B$6:$B$28=$B29))</f>
        <v>0.3425319846142274</v>
      </c>
      <c r="CE29" s="60">
        <f>SUMPRODUCT(AssetAssump!$D$6:$D$28,N(AssetAssump!$B$6:$B$28=$B29))</f>
        <v>0.3425319846142274</v>
      </c>
      <c r="CF29" s="60">
        <f>SUMPRODUCT(AssetAssump!$D$6:$D$28,N(AssetAssump!$B$6:$B$28=$B29))</f>
        <v>0.3425319846142274</v>
      </c>
      <c r="CG29" s="60">
        <f>SUMPRODUCT(AssetAssump!$D$6:$D$28,N(AssetAssump!$B$6:$B$28=$B29))</f>
        <v>0.3425319846142274</v>
      </c>
      <c r="CH29" s="60">
        <f>SUMPRODUCT(AssetAssump!$D$6:$D$28,N(AssetAssump!$B$6:$B$28=$B29))</f>
        <v>0.3425319846142274</v>
      </c>
      <c r="CI29" s="60">
        <f>SUMPRODUCT(AssetAssump!$D$6:$D$28,N(AssetAssump!$B$6:$B$28=$B29))</f>
        <v>0.3425319846142274</v>
      </c>
      <c r="CJ29" s="60">
        <f>SUMPRODUCT(AssetAssump!$D$6:$D$28,N(AssetAssump!$B$6:$B$28=$B29))</f>
        <v>0.3425319846142274</v>
      </c>
      <c r="CK29" s="60">
        <f>SUMPRODUCT(AssetAssump!$D$6:$D$28,N(AssetAssump!$B$6:$B$28=$B29))</f>
        <v>0.3425319846142274</v>
      </c>
      <c r="CL29" s="60">
        <f>SUMPRODUCT(AssetAssump!$D$6:$D$28,N(AssetAssump!$B$6:$B$28=$B29))</f>
        <v>0.3425319846142274</v>
      </c>
      <c r="CM29" s="60">
        <f>SUMPRODUCT(AssetAssump!$D$6:$D$28,N(AssetAssump!$B$6:$B$28=$B29))</f>
        <v>0.3425319846142274</v>
      </c>
      <c r="CN29" s="60">
        <f>SUMPRODUCT(AssetAssump!$D$6:$D$28,N(AssetAssump!$B$6:$B$28=$B29))</f>
        <v>0.3425319846142274</v>
      </c>
      <c r="CO29" s="60">
        <f>SUMPRODUCT(AssetAssump!$D$6:$D$28,N(AssetAssump!$B$6:$B$28=$B29))</f>
        <v>0.3425319846142274</v>
      </c>
      <c r="CP29" s="60">
        <f>SUMPRODUCT(AssetAssump!$D$6:$D$28,N(AssetAssump!$B$6:$B$28=$B29))</f>
        <v>0.3425319846142274</v>
      </c>
      <c r="CQ29" s="60">
        <f>SUMPRODUCT(AssetAssump!$D$6:$D$28,N(AssetAssump!$B$6:$B$28=$B29))</f>
        <v>0.3425319846142274</v>
      </c>
      <c r="CR29" s="60">
        <f>SUMPRODUCT(AssetAssump!$D$6:$D$28,N(AssetAssump!$B$6:$B$28=$B29))</f>
        <v>0.3425319846142274</v>
      </c>
      <c r="CS29" s="60">
        <f>SUMPRODUCT(AssetAssump!$D$6:$D$28,N(AssetAssump!$B$6:$B$28=$B29))</f>
        <v>0.3425319846142274</v>
      </c>
      <c r="CT29" s="60">
        <f>SUMPRODUCT(AssetAssump!$D$6:$D$28,N(AssetAssump!$B$6:$B$28=$B29))</f>
        <v>0.3425319846142274</v>
      </c>
      <c r="CU29" s="60">
        <f>SUMPRODUCT(AssetAssump!$D$6:$D$28,N(AssetAssump!$B$6:$B$28=$B29))</f>
        <v>0.3425319846142274</v>
      </c>
      <c r="CV29" s="60">
        <f>SUMPRODUCT(AssetAssump!$D$6:$D$28,N(AssetAssump!$B$6:$B$28=$B29))</f>
        <v>0.3425319846142274</v>
      </c>
      <c r="CW29" s="60">
        <f>SUMPRODUCT(AssetAssump!$D$6:$D$28,N(AssetAssump!$B$6:$B$28=$B29))</f>
        <v>0.3425319846142274</v>
      </c>
      <c r="CX29" s="60">
        <f>SUMPRODUCT(AssetAssump!$D$6:$D$28,N(AssetAssump!$B$6:$B$28=$B29))</f>
        <v>0.3425319846142274</v>
      </c>
      <c r="CY29" s="60">
        <f>SUMPRODUCT(AssetAssump!$D$6:$D$28,N(AssetAssump!$B$6:$B$28=$B29))</f>
        <v>0.3425319846142274</v>
      </c>
      <c r="CZ29" s="60">
        <f>SUMPRODUCT(AssetAssump!$D$6:$D$28,N(AssetAssump!$B$6:$B$28=$B29))</f>
        <v>0.3425319846142274</v>
      </c>
      <c r="DA29" s="60">
        <f>SUMPRODUCT(AssetAssump!$D$6:$D$28,N(AssetAssump!$B$6:$B$28=$B29))</f>
        <v>0.3425319846142274</v>
      </c>
      <c r="DB29" s="60">
        <f>SUMPRODUCT(AssetAssump!$D$6:$D$28,N(AssetAssump!$B$6:$B$28=$B29))</f>
        <v>0.3425319846142274</v>
      </c>
      <c r="DC29" s="60">
        <f>SUMPRODUCT(AssetAssump!$D$6:$D$28,N(AssetAssump!$B$6:$B$28=$B29))</f>
        <v>0.3425319846142274</v>
      </c>
      <c r="DD29" s="60">
        <f>SUMPRODUCT(AssetAssump!$D$6:$D$28,N(AssetAssump!$B$6:$B$28=$B29))</f>
        <v>0.3425319846142274</v>
      </c>
      <c r="DE29" s="60">
        <f>SUMPRODUCT(AssetAssump!$D$6:$D$28,N(AssetAssump!$B$6:$B$28=$B29))</f>
        <v>0.3425319846142274</v>
      </c>
      <c r="DF29" s="60">
        <f>SUMPRODUCT(AssetAssump!$D$6:$D$28,N(AssetAssump!$B$6:$B$28=$B29))</f>
        <v>0.3425319846142274</v>
      </c>
      <c r="DG29" s="60">
        <f>SUMPRODUCT(AssetAssump!$D$6:$D$28,N(AssetAssump!$B$6:$B$28=$B29))</f>
        <v>0.3425319846142274</v>
      </c>
      <c r="DH29" s="60">
        <f>SUMPRODUCT(AssetAssump!$D$6:$D$28,N(AssetAssump!$B$6:$B$28=$B29))</f>
        <v>0.3425319846142274</v>
      </c>
      <c r="DI29" s="60">
        <f>SUMPRODUCT(AssetAssump!$D$6:$D$28,N(AssetAssump!$B$6:$B$28=$B29))</f>
        <v>0.3425319846142274</v>
      </c>
      <c r="DJ29" s="60">
        <f>SUMPRODUCT(AssetAssump!$D$6:$D$28,N(AssetAssump!$B$6:$B$28=$B29))</f>
        <v>0.3425319846142274</v>
      </c>
      <c r="DK29" s="60">
        <f>SUMPRODUCT(AssetAssump!$D$6:$D$28,N(AssetAssump!$B$6:$B$28=$B29))</f>
        <v>0.3425319846142274</v>
      </c>
      <c r="DL29" s="60">
        <f>SUMPRODUCT(AssetAssump!$D$6:$D$28,N(AssetAssump!$B$6:$B$28=$B29))</f>
        <v>0.3425319846142274</v>
      </c>
      <c r="DM29" s="60">
        <f>SUMPRODUCT(AssetAssump!$D$6:$D$28,N(AssetAssump!$B$6:$B$28=$B29))</f>
        <v>0.3425319846142274</v>
      </c>
      <c r="DN29" s="60">
        <f>SUMPRODUCT(AssetAssump!$D$6:$D$28,N(AssetAssump!$B$6:$B$28=$B29))</f>
        <v>0.3425319846142274</v>
      </c>
      <c r="DO29" s="60">
        <f>SUMPRODUCT(AssetAssump!$D$6:$D$28,N(AssetAssump!$B$6:$B$28=$B29))</f>
        <v>0.3425319846142274</v>
      </c>
      <c r="DP29" s="60">
        <f>SUMPRODUCT(AssetAssump!$D$6:$D$28,N(AssetAssump!$B$6:$B$28=$B29))</f>
        <v>0.3425319846142274</v>
      </c>
      <c r="DQ29" s="60">
        <f>SUMPRODUCT(AssetAssump!$D$6:$D$28,N(AssetAssump!$B$6:$B$28=$B29))</f>
        <v>0.3425319846142274</v>
      </c>
      <c r="DR29" s="60">
        <f>SUMPRODUCT(AssetAssump!$D$6:$D$28,N(AssetAssump!$B$6:$B$28=$B29))</f>
        <v>0.3425319846142274</v>
      </c>
      <c r="DS29" s="60">
        <f>SUMPRODUCT(AssetAssump!$D$6:$D$28,N(AssetAssump!$B$6:$B$28=$B29))</f>
        <v>0.3425319846142274</v>
      </c>
      <c r="DT29" s="60">
        <f>SUMPRODUCT(AssetAssump!$D$6:$D$28,N(AssetAssump!$B$6:$B$28=$B29))</f>
        <v>0.3425319846142274</v>
      </c>
      <c r="DU29" s="60">
        <f>SUMPRODUCT(AssetAssump!$D$6:$D$28,N(AssetAssump!$B$6:$B$28=$B29))</f>
        <v>0.3425319846142274</v>
      </c>
      <c r="DV29" s="60">
        <f>SUMPRODUCT(AssetAssump!$D$6:$D$28,N(AssetAssump!$B$6:$B$28=$B29))</f>
        <v>0.3425319846142274</v>
      </c>
      <c r="DW29" s="60">
        <f>SUMPRODUCT(AssetAssump!$D$6:$D$28,N(AssetAssump!$B$6:$B$28=$B29))</f>
        <v>0.3425319846142274</v>
      </c>
      <c r="DX29" s="60">
        <f>SUMPRODUCT(AssetAssump!$D$6:$D$28,N(AssetAssump!$B$6:$B$28=$B29))</f>
        <v>0.3425319846142274</v>
      </c>
      <c r="DY29" s="60">
        <f>SUMPRODUCT(AssetAssump!$D$6:$D$28,N(AssetAssump!$B$6:$B$28=$B29))</f>
        <v>0.3425319846142274</v>
      </c>
      <c r="DZ29" s="60">
        <f>SUMPRODUCT(AssetAssump!$D$6:$D$28,N(AssetAssump!$B$6:$B$28=$B29))</f>
        <v>0.3425319846142274</v>
      </c>
      <c r="EA29" s="60">
        <f>SUMPRODUCT(AssetAssump!$D$6:$D$28,N(AssetAssump!$B$6:$B$28=$B29))</f>
        <v>0.3425319846142274</v>
      </c>
      <c r="EB29" s="60">
        <f>SUMPRODUCT(AssetAssump!$D$6:$D$28,N(AssetAssump!$B$6:$B$28=$B29))</f>
        <v>0.3425319846142274</v>
      </c>
      <c r="EC29" s="60">
        <f>SUMPRODUCT(AssetAssump!$D$6:$D$28,N(AssetAssump!$B$6:$B$28=$B29))</f>
        <v>0.3425319846142274</v>
      </c>
      <c r="ED29" s="60">
        <f>SUMPRODUCT(AssetAssump!$D$6:$D$28,N(AssetAssump!$B$6:$B$28=$B29))</f>
        <v>0.3425319846142274</v>
      </c>
      <c r="EE29" s="60">
        <f>SUMPRODUCT(AssetAssump!$D$6:$D$28,N(AssetAssump!$B$6:$B$28=$B29))</f>
        <v>0.3425319846142274</v>
      </c>
      <c r="EF29" s="60">
        <f>SUMPRODUCT(AssetAssump!$D$6:$D$28,N(AssetAssump!$B$6:$B$28=$B29))</f>
        <v>0.3425319846142274</v>
      </c>
      <c r="EG29" s="60">
        <f>SUMPRODUCT(AssetAssump!$D$6:$D$28,N(AssetAssump!$B$6:$B$28=$B29))</f>
        <v>0.3425319846142274</v>
      </c>
      <c r="EH29" s="60">
        <f>SUMPRODUCT(AssetAssump!$D$6:$D$28,N(AssetAssump!$B$6:$B$28=$B29))</f>
        <v>0.3425319846142274</v>
      </c>
      <c r="EI29" s="60">
        <f>SUMPRODUCT(AssetAssump!$D$6:$D$28,N(AssetAssump!$B$6:$B$28=$B29))</f>
        <v>0.3425319846142274</v>
      </c>
      <c r="EJ29" s="60">
        <f>SUMPRODUCT(AssetAssump!$D$6:$D$28,N(AssetAssump!$B$6:$B$28=$B29))</f>
        <v>0.3425319846142274</v>
      </c>
      <c r="EK29" s="60">
        <f>SUMPRODUCT(AssetAssump!$D$6:$D$28,N(AssetAssump!$B$6:$B$28=$B29))</f>
        <v>0.3425319846142274</v>
      </c>
      <c r="EL29" s="60">
        <f>SUMPRODUCT(AssetAssump!$D$6:$D$28,N(AssetAssump!$B$6:$B$28=$B29))</f>
        <v>0.3425319846142274</v>
      </c>
    </row>
    <row r="30" spans="1:142" s="59" customFormat="1">
      <c r="B30" s="62" t="s">
        <v>38</v>
      </c>
      <c r="C30" s="61">
        <f>InititalAssetMix!$C$7</f>
        <v>5.2299999999999999E-2</v>
      </c>
      <c r="D30" s="61">
        <f t="shared" si="15"/>
        <v>0.101725</v>
      </c>
      <c r="E30" s="61">
        <f t="shared" si="15"/>
        <v>0.15115000000000001</v>
      </c>
      <c r="F30" s="61">
        <f t="shared" si="15"/>
        <v>0.200575</v>
      </c>
      <c r="G30" s="60">
        <f>SUMPRODUCT(AssetAssump!$D$6:$D$28,N(AssetAssump!$B$6:$B$28=$B30))</f>
        <v>0.25</v>
      </c>
      <c r="H30" s="60">
        <f>SUMPRODUCT(AssetAssump!$D$6:$D$28,N(AssetAssump!$B$6:$B$28=$B30))</f>
        <v>0.25</v>
      </c>
      <c r="I30" s="60">
        <f>SUMPRODUCT(AssetAssump!$D$6:$D$28,N(AssetAssump!$B$6:$B$28=$B30))</f>
        <v>0.25</v>
      </c>
      <c r="J30" s="60">
        <f>SUMPRODUCT(AssetAssump!$D$6:$D$28,N(AssetAssump!$B$6:$B$28=$B30))</f>
        <v>0.25</v>
      </c>
      <c r="K30" s="60">
        <f>SUMPRODUCT(AssetAssump!$D$6:$D$28,N(AssetAssump!$B$6:$B$28=$B30))</f>
        <v>0.25</v>
      </c>
      <c r="L30" s="60">
        <f>SUMPRODUCT(AssetAssump!$D$6:$D$28,N(AssetAssump!$B$6:$B$28=$B30))</f>
        <v>0.25</v>
      </c>
      <c r="M30" s="60">
        <f>SUMPRODUCT(AssetAssump!$D$6:$D$28,N(AssetAssump!$B$6:$B$28=$B30))</f>
        <v>0.25</v>
      </c>
      <c r="N30" s="60">
        <f>SUMPRODUCT(AssetAssump!$D$6:$D$28,N(AssetAssump!$B$6:$B$28=$B30))</f>
        <v>0.25</v>
      </c>
      <c r="O30" s="60">
        <f>SUMPRODUCT(AssetAssump!$D$6:$D$28,N(AssetAssump!$B$6:$B$28=$B30))</f>
        <v>0.25</v>
      </c>
      <c r="P30" s="60">
        <f>SUMPRODUCT(AssetAssump!$D$6:$D$28,N(AssetAssump!$B$6:$B$28=$B30))</f>
        <v>0.25</v>
      </c>
      <c r="Q30" s="60">
        <f>SUMPRODUCT(AssetAssump!$D$6:$D$28,N(AssetAssump!$B$6:$B$28=$B30))</f>
        <v>0.25</v>
      </c>
      <c r="R30" s="60">
        <f>SUMPRODUCT(AssetAssump!$D$6:$D$28,N(AssetAssump!$B$6:$B$28=$B30))</f>
        <v>0.25</v>
      </c>
      <c r="S30" s="60">
        <f>SUMPRODUCT(AssetAssump!$D$6:$D$28,N(AssetAssump!$B$6:$B$28=$B30))</f>
        <v>0.25</v>
      </c>
      <c r="T30" s="60">
        <f>SUMPRODUCT(AssetAssump!$D$6:$D$28,N(AssetAssump!$B$6:$B$28=$B30))</f>
        <v>0.25</v>
      </c>
      <c r="U30" s="60">
        <f>SUMPRODUCT(AssetAssump!$D$6:$D$28,N(AssetAssump!$B$6:$B$28=$B30))</f>
        <v>0.25</v>
      </c>
      <c r="V30" s="60">
        <f>SUMPRODUCT(AssetAssump!$D$6:$D$28,N(AssetAssump!$B$6:$B$28=$B30))</f>
        <v>0.25</v>
      </c>
      <c r="W30" s="60">
        <f>SUMPRODUCT(AssetAssump!$D$6:$D$28,N(AssetAssump!$B$6:$B$28=$B30))</f>
        <v>0.25</v>
      </c>
      <c r="X30" s="60">
        <f>SUMPRODUCT(AssetAssump!$D$6:$D$28,N(AssetAssump!$B$6:$B$28=$B30))</f>
        <v>0.25</v>
      </c>
      <c r="Y30" s="60">
        <f>SUMPRODUCT(AssetAssump!$D$6:$D$28,N(AssetAssump!$B$6:$B$28=$B30))</f>
        <v>0.25</v>
      </c>
      <c r="Z30" s="60">
        <f>SUMPRODUCT(AssetAssump!$D$6:$D$28,N(AssetAssump!$B$6:$B$28=$B30))</f>
        <v>0.25</v>
      </c>
      <c r="AA30" s="60">
        <f>SUMPRODUCT(AssetAssump!$D$6:$D$28,N(AssetAssump!$B$6:$B$28=$B30))</f>
        <v>0.25</v>
      </c>
      <c r="AB30" s="60">
        <f>SUMPRODUCT(AssetAssump!$D$6:$D$28,N(AssetAssump!$B$6:$B$28=$B30))</f>
        <v>0.25</v>
      </c>
      <c r="AC30" s="60">
        <f>SUMPRODUCT(AssetAssump!$D$6:$D$28,N(AssetAssump!$B$6:$B$28=$B30))</f>
        <v>0.25</v>
      </c>
      <c r="AD30" s="60">
        <f>SUMPRODUCT(AssetAssump!$D$6:$D$28,N(AssetAssump!$B$6:$B$28=$B30))</f>
        <v>0.25</v>
      </c>
      <c r="AE30" s="60">
        <f>SUMPRODUCT(AssetAssump!$D$6:$D$28,N(AssetAssump!$B$6:$B$28=$B30))</f>
        <v>0.25</v>
      </c>
      <c r="AF30" s="60">
        <f>SUMPRODUCT(AssetAssump!$D$6:$D$28,N(AssetAssump!$B$6:$B$28=$B30))</f>
        <v>0.25</v>
      </c>
      <c r="AG30" s="60">
        <f>SUMPRODUCT(AssetAssump!$D$6:$D$28,N(AssetAssump!$B$6:$B$28=$B30))</f>
        <v>0.25</v>
      </c>
      <c r="AH30" s="60">
        <f>SUMPRODUCT(AssetAssump!$D$6:$D$28,N(AssetAssump!$B$6:$B$28=$B30))</f>
        <v>0.25</v>
      </c>
      <c r="AI30" s="60">
        <f>SUMPRODUCT(AssetAssump!$D$6:$D$28,N(AssetAssump!$B$6:$B$28=$B30))</f>
        <v>0.25</v>
      </c>
      <c r="AJ30" s="60">
        <f>SUMPRODUCT(AssetAssump!$D$6:$D$28,N(AssetAssump!$B$6:$B$28=$B30))</f>
        <v>0.25</v>
      </c>
      <c r="AK30" s="60">
        <f>SUMPRODUCT(AssetAssump!$D$6:$D$28,N(AssetAssump!$B$6:$B$28=$B30))</f>
        <v>0.25</v>
      </c>
      <c r="AL30" s="60">
        <f>SUMPRODUCT(AssetAssump!$D$6:$D$28,N(AssetAssump!$B$6:$B$28=$B30))</f>
        <v>0.25</v>
      </c>
      <c r="AM30" s="60">
        <f>SUMPRODUCT(AssetAssump!$D$6:$D$28,N(AssetAssump!$B$6:$B$28=$B30))</f>
        <v>0.25</v>
      </c>
      <c r="AN30" s="60">
        <f>SUMPRODUCT(AssetAssump!$D$6:$D$28,N(AssetAssump!$B$6:$B$28=$B30))</f>
        <v>0.25</v>
      </c>
      <c r="AO30" s="60">
        <f>SUMPRODUCT(AssetAssump!$D$6:$D$28,N(AssetAssump!$B$6:$B$28=$B30))</f>
        <v>0.25</v>
      </c>
      <c r="AP30" s="60">
        <f>SUMPRODUCT(AssetAssump!$D$6:$D$28,N(AssetAssump!$B$6:$B$28=$B30))</f>
        <v>0.25</v>
      </c>
      <c r="AQ30" s="60">
        <f>SUMPRODUCT(AssetAssump!$D$6:$D$28,N(AssetAssump!$B$6:$B$28=$B30))</f>
        <v>0.25</v>
      </c>
      <c r="AR30" s="60">
        <f>SUMPRODUCT(AssetAssump!$D$6:$D$28,N(AssetAssump!$B$6:$B$28=$B30))</f>
        <v>0.25</v>
      </c>
      <c r="AS30" s="60">
        <f>SUMPRODUCT(AssetAssump!$D$6:$D$28,N(AssetAssump!$B$6:$B$28=$B30))</f>
        <v>0.25</v>
      </c>
      <c r="AT30" s="60">
        <f>SUMPRODUCT(AssetAssump!$D$6:$D$28,N(AssetAssump!$B$6:$B$28=$B30))</f>
        <v>0.25</v>
      </c>
      <c r="AU30" s="60">
        <f>SUMPRODUCT(AssetAssump!$D$6:$D$28,N(AssetAssump!$B$6:$B$28=$B30))</f>
        <v>0.25</v>
      </c>
      <c r="AV30" s="60">
        <f>SUMPRODUCT(AssetAssump!$D$6:$D$28,N(AssetAssump!$B$6:$B$28=$B30))</f>
        <v>0.25</v>
      </c>
      <c r="AW30" s="60">
        <f>SUMPRODUCT(AssetAssump!$D$6:$D$28,N(AssetAssump!$B$6:$B$28=$B30))</f>
        <v>0.25</v>
      </c>
      <c r="AX30" s="60">
        <f>SUMPRODUCT(AssetAssump!$D$6:$D$28,N(AssetAssump!$B$6:$B$28=$B30))</f>
        <v>0.25</v>
      </c>
      <c r="AY30" s="60">
        <f>SUMPRODUCT(AssetAssump!$D$6:$D$28,N(AssetAssump!$B$6:$B$28=$B30))</f>
        <v>0.25</v>
      </c>
      <c r="AZ30" s="60">
        <f>SUMPRODUCT(AssetAssump!$D$6:$D$28,N(AssetAssump!$B$6:$B$28=$B30))</f>
        <v>0.25</v>
      </c>
      <c r="BA30" s="60">
        <f>SUMPRODUCT(AssetAssump!$D$6:$D$28,N(AssetAssump!$B$6:$B$28=$B30))</f>
        <v>0.25</v>
      </c>
      <c r="BB30" s="60">
        <f>SUMPRODUCT(AssetAssump!$D$6:$D$28,N(AssetAssump!$B$6:$B$28=$B30))</f>
        <v>0.25</v>
      </c>
      <c r="BC30" s="60">
        <f>SUMPRODUCT(AssetAssump!$D$6:$D$28,N(AssetAssump!$B$6:$B$28=$B30))</f>
        <v>0.25</v>
      </c>
      <c r="BD30" s="60">
        <f>SUMPRODUCT(AssetAssump!$D$6:$D$28,N(AssetAssump!$B$6:$B$28=$B30))</f>
        <v>0.25</v>
      </c>
      <c r="BE30" s="60">
        <f>SUMPRODUCT(AssetAssump!$D$6:$D$28,N(AssetAssump!$B$6:$B$28=$B30))</f>
        <v>0.25</v>
      </c>
      <c r="BF30" s="60">
        <f>SUMPRODUCT(AssetAssump!$D$6:$D$28,N(AssetAssump!$B$6:$B$28=$B30))</f>
        <v>0.25</v>
      </c>
      <c r="BG30" s="60">
        <f>SUMPRODUCT(AssetAssump!$D$6:$D$28,N(AssetAssump!$B$6:$B$28=$B30))</f>
        <v>0.25</v>
      </c>
      <c r="BH30" s="60">
        <f>SUMPRODUCT(AssetAssump!$D$6:$D$28,N(AssetAssump!$B$6:$B$28=$B30))</f>
        <v>0.25</v>
      </c>
      <c r="BI30" s="60">
        <f>SUMPRODUCT(AssetAssump!$D$6:$D$28,N(AssetAssump!$B$6:$B$28=$B30))</f>
        <v>0.25</v>
      </c>
      <c r="BJ30" s="60">
        <f>SUMPRODUCT(AssetAssump!$D$6:$D$28,N(AssetAssump!$B$6:$B$28=$B30))</f>
        <v>0.25</v>
      </c>
      <c r="BK30" s="60">
        <f>SUMPRODUCT(AssetAssump!$D$6:$D$28,N(AssetAssump!$B$6:$B$28=$B30))</f>
        <v>0.25</v>
      </c>
      <c r="BL30" s="60">
        <f>SUMPRODUCT(AssetAssump!$D$6:$D$28,N(AssetAssump!$B$6:$B$28=$B30))</f>
        <v>0.25</v>
      </c>
      <c r="BM30" s="60">
        <f>SUMPRODUCT(AssetAssump!$D$6:$D$28,N(AssetAssump!$B$6:$B$28=$B30))</f>
        <v>0.25</v>
      </c>
      <c r="BN30" s="60">
        <f>SUMPRODUCT(AssetAssump!$D$6:$D$28,N(AssetAssump!$B$6:$B$28=$B30))</f>
        <v>0.25</v>
      </c>
      <c r="BO30" s="60">
        <f>SUMPRODUCT(AssetAssump!$D$6:$D$28,N(AssetAssump!$B$6:$B$28=$B30))</f>
        <v>0.25</v>
      </c>
      <c r="BP30" s="60">
        <f>SUMPRODUCT(AssetAssump!$D$6:$D$28,N(AssetAssump!$B$6:$B$28=$B30))</f>
        <v>0.25</v>
      </c>
      <c r="BQ30" s="60">
        <f>SUMPRODUCT(AssetAssump!$D$6:$D$28,N(AssetAssump!$B$6:$B$28=$B30))</f>
        <v>0.25</v>
      </c>
      <c r="BR30" s="60">
        <f>SUMPRODUCT(AssetAssump!$D$6:$D$28,N(AssetAssump!$B$6:$B$28=$B30))</f>
        <v>0.25</v>
      </c>
      <c r="BS30" s="60">
        <f>SUMPRODUCT(AssetAssump!$D$6:$D$28,N(AssetAssump!$B$6:$B$28=$B30))</f>
        <v>0.25</v>
      </c>
      <c r="BT30" s="60">
        <f>SUMPRODUCT(AssetAssump!$D$6:$D$28,N(AssetAssump!$B$6:$B$28=$B30))</f>
        <v>0.25</v>
      </c>
      <c r="BU30" s="60">
        <f>SUMPRODUCT(AssetAssump!$D$6:$D$28,N(AssetAssump!$B$6:$B$28=$B30))</f>
        <v>0.25</v>
      </c>
      <c r="BV30" s="60">
        <f>SUMPRODUCT(AssetAssump!$D$6:$D$28,N(AssetAssump!$B$6:$B$28=$B30))</f>
        <v>0.25</v>
      </c>
      <c r="BW30" s="60">
        <f>SUMPRODUCT(AssetAssump!$D$6:$D$28,N(AssetAssump!$B$6:$B$28=$B30))</f>
        <v>0.25</v>
      </c>
      <c r="BX30" s="60">
        <f>SUMPRODUCT(AssetAssump!$D$6:$D$28,N(AssetAssump!$B$6:$B$28=$B30))</f>
        <v>0.25</v>
      </c>
      <c r="BY30" s="60">
        <f>SUMPRODUCT(AssetAssump!$D$6:$D$28,N(AssetAssump!$B$6:$B$28=$B30))</f>
        <v>0.25</v>
      </c>
      <c r="BZ30" s="60">
        <f>SUMPRODUCT(AssetAssump!$D$6:$D$28,N(AssetAssump!$B$6:$B$28=$B30))</f>
        <v>0.25</v>
      </c>
      <c r="CA30" s="60">
        <f>SUMPRODUCT(AssetAssump!$D$6:$D$28,N(AssetAssump!$B$6:$B$28=$B30))</f>
        <v>0.25</v>
      </c>
      <c r="CB30" s="60">
        <f>SUMPRODUCT(AssetAssump!$D$6:$D$28,N(AssetAssump!$B$6:$B$28=$B30))</f>
        <v>0.25</v>
      </c>
      <c r="CC30" s="60">
        <f>SUMPRODUCT(AssetAssump!$D$6:$D$28,N(AssetAssump!$B$6:$B$28=$B30))</f>
        <v>0.25</v>
      </c>
      <c r="CD30" s="60">
        <f>SUMPRODUCT(AssetAssump!$D$6:$D$28,N(AssetAssump!$B$6:$B$28=$B30))</f>
        <v>0.25</v>
      </c>
      <c r="CE30" s="60">
        <f>SUMPRODUCT(AssetAssump!$D$6:$D$28,N(AssetAssump!$B$6:$B$28=$B30))</f>
        <v>0.25</v>
      </c>
      <c r="CF30" s="60">
        <f>SUMPRODUCT(AssetAssump!$D$6:$D$28,N(AssetAssump!$B$6:$B$28=$B30))</f>
        <v>0.25</v>
      </c>
      <c r="CG30" s="60">
        <f>SUMPRODUCT(AssetAssump!$D$6:$D$28,N(AssetAssump!$B$6:$B$28=$B30))</f>
        <v>0.25</v>
      </c>
      <c r="CH30" s="60">
        <f>SUMPRODUCT(AssetAssump!$D$6:$D$28,N(AssetAssump!$B$6:$B$28=$B30))</f>
        <v>0.25</v>
      </c>
      <c r="CI30" s="60">
        <f>SUMPRODUCT(AssetAssump!$D$6:$D$28,N(AssetAssump!$B$6:$B$28=$B30))</f>
        <v>0.25</v>
      </c>
      <c r="CJ30" s="60">
        <f>SUMPRODUCT(AssetAssump!$D$6:$D$28,N(AssetAssump!$B$6:$B$28=$B30))</f>
        <v>0.25</v>
      </c>
      <c r="CK30" s="60">
        <f>SUMPRODUCT(AssetAssump!$D$6:$D$28,N(AssetAssump!$B$6:$B$28=$B30))</f>
        <v>0.25</v>
      </c>
      <c r="CL30" s="60">
        <f>SUMPRODUCT(AssetAssump!$D$6:$D$28,N(AssetAssump!$B$6:$B$28=$B30))</f>
        <v>0.25</v>
      </c>
      <c r="CM30" s="60">
        <f>SUMPRODUCT(AssetAssump!$D$6:$D$28,N(AssetAssump!$B$6:$B$28=$B30))</f>
        <v>0.25</v>
      </c>
      <c r="CN30" s="60">
        <f>SUMPRODUCT(AssetAssump!$D$6:$D$28,N(AssetAssump!$B$6:$B$28=$B30))</f>
        <v>0.25</v>
      </c>
      <c r="CO30" s="60">
        <f>SUMPRODUCT(AssetAssump!$D$6:$D$28,N(AssetAssump!$B$6:$B$28=$B30))</f>
        <v>0.25</v>
      </c>
      <c r="CP30" s="60">
        <f>SUMPRODUCT(AssetAssump!$D$6:$D$28,N(AssetAssump!$B$6:$B$28=$B30))</f>
        <v>0.25</v>
      </c>
      <c r="CQ30" s="60">
        <f>SUMPRODUCT(AssetAssump!$D$6:$D$28,N(AssetAssump!$B$6:$B$28=$B30))</f>
        <v>0.25</v>
      </c>
      <c r="CR30" s="60">
        <f>SUMPRODUCT(AssetAssump!$D$6:$D$28,N(AssetAssump!$B$6:$B$28=$B30))</f>
        <v>0.25</v>
      </c>
      <c r="CS30" s="60">
        <f>SUMPRODUCT(AssetAssump!$D$6:$D$28,N(AssetAssump!$B$6:$B$28=$B30))</f>
        <v>0.25</v>
      </c>
      <c r="CT30" s="60">
        <f>SUMPRODUCT(AssetAssump!$D$6:$D$28,N(AssetAssump!$B$6:$B$28=$B30))</f>
        <v>0.25</v>
      </c>
      <c r="CU30" s="60">
        <f>SUMPRODUCT(AssetAssump!$D$6:$D$28,N(AssetAssump!$B$6:$B$28=$B30))</f>
        <v>0.25</v>
      </c>
      <c r="CV30" s="60">
        <f>SUMPRODUCT(AssetAssump!$D$6:$D$28,N(AssetAssump!$B$6:$B$28=$B30))</f>
        <v>0.25</v>
      </c>
      <c r="CW30" s="60">
        <f>SUMPRODUCT(AssetAssump!$D$6:$D$28,N(AssetAssump!$B$6:$B$28=$B30))</f>
        <v>0.25</v>
      </c>
      <c r="CX30" s="60">
        <f>SUMPRODUCT(AssetAssump!$D$6:$D$28,N(AssetAssump!$B$6:$B$28=$B30))</f>
        <v>0.25</v>
      </c>
      <c r="CY30" s="60">
        <f>SUMPRODUCT(AssetAssump!$D$6:$D$28,N(AssetAssump!$B$6:$B$28=$B30))</f>
        <v>0.25</v>
      </c>
      <c r="CZ30" s="60">
        <f>SUMPRODUCT(AssetAssump!$D$6:$D$28,N(AssetAssump!$B$6:$B$28=$B30))</f>
        <v>0.25</v>
      </c>
      <c r="DA30" s="60">
        <f>SUMPRODUCT(AssetAssump!$D$6:$D$28,N(AssetAssump!$B$6:$B$28=$B30))</f>
        <v>0.25</v>
      </c>
      <c r="DB30" s="60">
        <f>SUMPRODUCT(AssetAssump!$D$6:$D$28,N(AssetAssump!$B$6:$B$28=$B30))</f>
        <v>0.25</v>
      </c>
      <c r="DC30" s="60">
        <f>SUMPRODUCT(AssetAssump!$D$6:$D$28,N(AssetAssump!$B$6:$B$28=$B30))</f>
        <v>0.25</v>
      </c>
      <c r="DD30" s="60">
        <f>SUMPRODUCT(AssetAssump!$D$6:$D$28,N(AssetAssump!$B$6:$B$28=$B30))</f>
        <v>0.25</v>
      </c>
      <c r="DE30" s="60">
        <f>SUMPRODUCT(AssetAssump!$D$6:$D$28,N(AssetAssump!$B$6:$B$28=$B30))</f>
        <v>0.25</v>
      </c>
      <c r="DF30" s="60">
        <f>SUMPRODUCT(AssetAssump!$D$6:$D$28,N(AssetAssump!$B$6:$B$28=$B30))</f>
        <v>0.25</v>
      </c>
      <c r="DG30" s="60">
        <f>SUMPRODUCT(AssetAssump!$D$6:$D$28,N(AssetAssump!$B$6:$B$28=$B30))</f>
        <v>0.25</v>
      </c>
      <c r="DH30" s="60">
        <f>SUMPRODUCT(AssetAssump!$D$6:$D$28,N(AssetAssump!$B$6:$B$28=$B30))</f>
        <v>0.25</v>
      </c>
      <c r="DI30" s="60">
        <f>SUMPRODUCT(AssetAssump!$D$6:$D$28,N(AssetAssump!$B$6:$B$28=$B30))</f>
        <v>0.25</v>
      </c>
      <c r="DJ30" s="60">
        <f>SUMPRODUCT(AssetAssump!$D$6:$D$28,N(AssetAssump!$B$6:$B$28=$B30))</f>
        <v>0.25</v>
      </c>
      <c r="DK30" s="60">
        <f>SUMPRODUCT(AssetAssump!$D$6:$D$28,N(AssetAssump!$B$6:$B$28=$B30))</f>
        <v>0.25</v>
      </c>
      <c r="DL30" s="60">
        <f>SUMPRODUCT(AssetAssump!$D$6:$D$28,N(AssetAssump!$B$6:$B$28=$B30))</f>
        <v>0.25</v>
      </c>
      <c r="DM30" s="60">
        <f>SUMPRODUCT(AssetAssump!$D$6:$D$28,N(AssetAssump!$B$6:$B$28=$B30))</f>
        <v>0.25</v>
      </c>
      <c r="DN30" s="60">
        <f>SUMPRODUCT(AssetAssump!$D$6:$D$28,N(AssetAssump!$B$6:$B$28=$B30))</f>
        <v>0.25</v>
      </c>
      <c r="DO30" s="60">
        <f>SUMPRODUCT(AssetAssump!$D$6:$D$28,N(AssetAssump!$B$6:$B$28=$B30))</f>
        <v>0.25</v>
      </c>
      <c r="DP30" s="60">
        <f>SUMPRODUCT(AssetAssump!$D$6:$D$28,N(AssetAssump!$B$6:$B$28=$B30))</f>
        <v>0.25</v>
      </c>
      <c r="DQ30" s="60">
        <f>SUMPRODUCT(AssetAssump!$D$6:$D$28,N(AssetAssump!$B$6:$B$28=$B30))</f>
        <v>0.25</v>
      </c>
      <c r="DR30" s="60">
        <f>SUMPRODUCT(AssetAssump!$D$6:$D$28,N(AssetAssump!$B$6:$B$28=$B30))</f>
        <v>0.25</v>
      </c>
      <c r="DS30" s="60">
        <f>SUMPRODUCT(AssetAssump!$D$6:$D$28,N(AssetAssump!$B$6:$B$28=$B30))</f>
        <v>0.25</v>
      </c>
      <c r="DT30" s="60">
        <f>SUMPRODUCT(AssetAssump!$D$6:$D$28,N(AssetAssump!$B$6:$B$28=$B30))</f>
        <v>0.25</v>
      </c>
      <c r="DU30" s="60">
        <f>SUMPRODUCT(AssetAssump!$D$6:$D$28,N(AssetAssump!$B$6:$B$28=$B30))</f>
        <v>0.25</v>
      </c>
      <c r="DV30" s="60">
        <f>SUMPRODUCT(AssetAssump!$D$6:$D$28,N(AssetAssump!$B$6:$B$28=$B30))</f>
        <v>0.25</v>
      </c>
      <c r="DW30" s="60">
        <f>SUMPRODUCT(AssetAssump!$D$6:$D$28,N(AssetAssump!$B$6:$B$28=$B30))</f>
        <v>0.25</v>
      </c>
      <c r="DX30" s="60">
        <f>SUMPRODUCT(AssetAssump!$D$6:$D$28,N(AssetAssump!$B$6:$B$28=$B30))</f>
        <v>0.25</v>
      </c>
      <c r="DY30" s="60">
        <f>SUMPRODUCT(AssetAssump!$D$6:$D$28,N(AssetAssump!$B$6:$B$28=$B30))</f>
        <v>0.25</v>
      </c>
      <c r="DZ30" s="60">
        <f>SUMPRODUCT(AssetAssump!$D$6:$D$28,N(AssetAssump!$B$6:$B$28=$B30))</f>
        <v>0.25</v>
      </c>
      <c r="EA30" s="60">
        <f>SUMPRODUCT(AssetAssump!$D$6:$D$28,N(AssetAssump!$B$6:$B$28=$B30))</f>
        <v>0.25</v>
      </c>
      <c r="EB30" s="60">
        <f>SUMPRODUCT(AssetAssump!$D$6:$D$28,N(AssetAssump!$B$6:$B$28=$B30))</f>
        <v>0.25</v>
      </c>
      <c r="EC30" s="60">
        <f>SUMPRODUCT(AssetAssump!$D$6:$D$28,N(AssetAssump!$B$6:$B$28=$B30))</f>
        <v>0.25</v>
      </c>
      <c r="ED30" s="60">
        <f>SUMPRODUCT(AssetAssump!$D$6:$D$28,N(AssetAssump!$B$6:$B$28=$B30))</f>
        <v>0.25</v>
      </c>
      <c r="EE30" s="60">
        <f>SUMPRODUCT(AssetAssump!$D$6:$D$28,N(AssetAssump!$B$6:$B$28=$B30))</f>
        <v>0.25</v>
      </c>
      <c r="EF30" s="60">
        <f>SUMPRODUCT(AssetAssump!$D$6:$D$28,N(AssetAssump!$B$6:$B$28=$B30))</f>
        <v>0.25</v>
      </c>
      <c r="EG30" s="60">
        <f>SUMPRODUCT(AssetAssump!$D$6:$D$28,N(AssetAssump!$B$6:$B$28=$B30))</f>
        <v>0.25</v>
      </c>
      <c r="EH30" s="60">
        <f>SUMPRODUCT(AssetAssump!$D$6:$D$28,N(AssetAssump!$B$6:$B$28=$B30))</f>
        <v>0.25</v>
      </c>
      <c r="EI30" s="60">
        <f>SUMPRODUCT(AssetAssump!$D$6:$D$28,N(AssetAssump!$B$6:$B$28=$B30))</f>
        <v>0.25</v>
      </c>
      <c r="EJ30" s="60">
        <f>SUMPRODUCT(AssetAssump!$D$6:$D$28,N(AssetAssump!$B$6:$B$28=$B30))</f>
        <v>0.25</v>
      </c>
      <c r="EK30" s="60">
        <f>SUMPRODUCT(AssetAssump!$D$6:$D$28,N(AssetAssump!$B$6:$B$28=$B30))</f>
        <v>0.25</v>
      </c>
      <c r="EL30" s="60">
        <f>SUMPRODUCT(AssetAssump!$D$6:$D$28,N(AssetAssump!$B$6:$B$28=$B30))</f>
        <v>0.25</v>
      </c>
    </row>
    <row r="31" spans="1:142" s="59" customFormat="1">
      <c r="B31" s="62" t="s">
        <v>37</v>
      </c>
      <c r="C31" s="61">
        <f>InititalAssetMix!$C$8</f>
        <v>1.0358475020753337E-3</v>
      </c>
      <c r="D31" s="61">
        <f t="shared" si="15"/>
        <v>7.768856265565002E-4</v>
      </c>
      <c r="E31" s="61">
        <f t="shared" si="15"/>
        <v>5.1792375103766684E-4</v>
      </c>
      <c r="F31" s="61">
        <f t="shared" si="15"/>
        <v>2.5896187551883347E-4</v>
      </c>
      <c r="G31" s="60">
        <f>SUMPRODUCT(AssetAssump!$D$6:$D$28,N(AssetAssump!$B$6:$B$28=$B31))</f>
        <v>0</v>
      </c>
      <c r="H31" s="60">
        <f>SUMPRODUCT(AssetAssump!$D$6:$D$28,N(AssetAssump!$B$6:$B$28=$B31))</f>
        <v>0</v>
      </c>
      <c r="I31" s="60">
        <f>SUMPRODUCT(AssetAssump!$D$6:$D$28,N(AssetAssump!$B$6:$B$28=$B31))</f>
        <v>0</v>
      </c>
      <c r="J31" s="60">
        <f>SUMPRODUCT(AssetAssump!$D$6:$D$28,N(AssetAssump!$B$6:$B$28=$B31))</f>
        <v>0</v>
      </c>
      <c r="K31" s="60">
        <f>SUMPRODUCT(AssetAssump!$D$6:$D$28,N(AssetAssump!$B$6:$B$28=$B31))</f>
        <v>0</v>
      </c>
      <c r="L31" s="60">
        <f>SUMPRODUCT(AssetAssump!$D$6:$D$28,N(AssetAssump!$B$6:$B$28=$B31))</f>
        <v>0</v>
      </c>
      <c r="M31" s="60">
        <f>SUMPRODUCT(AssetAssump!$D$6:$D$28,N(AssetAssump!$B$6:$B$28=$B31))</f>
        <v>0</v>
      </c>
      <c r="N31" s="60">
        <f>SUMPRODUCT(AssetAssump!$D$6:$D$28,N(AssetAssump!$B$6:$B$28=$B31))</f>
        <v>0</v>
      </c>
      <c r="O31" s="60">
        <f>SUMPRODUCT(AssetAssump!$D$6:$D$28,N(AssetAssump!$B$6:$B$28=$B31))</f>
        <v>0</v>
      </c>
      <c r="P31" s="60">
        <f>SUMPRODUCT(AssetAssump!$D$6:$D$28,N(AssetAssump!$B$6:$B$28=$B31))</f>
        <v>0</v>
      </c>
      <c r="Q31" s="60">
        <f>SUMPRODUCT(AssetAssump!$D$6:$D$28,N(AssetAssump!$B$6:$B$28=$B31))</f>
        <v>0</v>
      </c>
      <c r="R31" s="60">
        <f>SUMPRODUCT(AssetAssump!$D$6:$D$28,N(AssetAssump!$B$6:$B$28=$B31))</f>
        <v>0</v>
      </c>
      <c r="S31" s="60">
        <f>SUMPRODUCT(AssetAssump!$D$6:$D$28,N(AssetAssump!$B$6:$B$28=$B31))</f>
        <v>0</v>
      </c>
      <c r="T31" s="60">
        <f>SUMPRODUCT(AssetAssump!$D$6:$D$28,N(AssetAssump!$B$6:$B$28=$B31))</f>
        <v>0</v>
      </c>
      <c r="U31" s="60">
        <f>SUMPRODUCT(AssetAssump!$D$6:$D$28,N(AssetAssump!$B$6:$B$28=$B31))</f>
        <v>0</v>
      </c>
      <c r="V31" s="60">
        <f>SUMPRODUCT(AssetAssump!$D$6:$D$28,N(AssetAssump!$B$6:$B$28=$B31))</f>
        <v>0</v>
      </c>
      <c r="W31" s="60">
        <f>SUMPRODUCT(AssetAssump!$D$6:$D$28,N(AssetAssump!$B$6:$B$28=$B31))</f>
        <v>0</v>
      </c>
      <c r="X31" s="60">
        <f>SUMPRODUCT(AssetAssump!$D$6:$D$28,N(AssetAssump!$B$6:$B$28=$B31))</f>
        <v>0</v>
      </c>
      <c r="Y31" s="60">
        <f>SUMPRODUCT(AssetAssump!$D$6:$D$28,N(AssetAssump!$B$6:$B$28=$B31))</f>
        <v>0</v>
      </c>
      <c r="Z31" s="60">
        <f>SUMPRODUCT(AssetAssump!$D$6:$D$28,N(AssetAssump!$B$6:$B$28=$B31))</f>
        <v>0</v>
      </c>
      <c r="AA31" s="60">
        <f>SUMPRODUCT(AssetAssump!$D$6:$D$28,N(AssetAssump!$B$6:$B$28=$B31))</f>
        <v>0</v>
      </c>
      <c r="AB31" s="60">
        <f>SUMPRODUCT(AssetAssump!$D$6:$D$28,N(AssetAssump!$B$6:$B$28=$B31))</f>
        <v>0</v>
      </c>
      <c r="AC31" s="60">
        <f>SUMPRODUCT(AssetAssump!$D$6:$D$28,N(AssetAssump!$B$6:$B$28=$B31))</f>
        <v>0</v>
      </c>
      <c r="AD31" s="60">
        <f>SUMPRODUCT(AssetAssump!$D$6:$D$28,N(AssetAssump!$B$6:$B$28=$B31))</f>
        <v>0</v>
      </c>
      <c r="AE31" s="60">
        <f>SUMPRODUCT(AssetAssump!$D$6:$D$28,N(AssetAssump!$B$6:$B$28=$B31))</f>
        <v>0</v>
      </c>
      <c r="AF31" s="60">
        <f>SUMPRODUCT(AssetAssump!$D$6:$D$28,N(AssetAssump!$B$6:$B$28=$B31))</f>
        <v>0</v>
      </c>
      <c r="AG31" s="60">
        <f>SUMPRODUCT(AssetAssump!$D$6:$D$28,N(AssetAssump!$B$6:$B$28=$B31))</f>
        <v>0</v>
      </c>
      <c r="AH31" s="60">
        <f>SUMPRODUCT(AssetAssump!$D$6:$D$28,N(AssetAssump!$B$6:$B$28=$B31))</f>
        <v>0</v>
      </c>
      <c r="AI31" s="60">
        <f>SUMPRODUCT(AssetAssump!$D$6:$D$28,N(AssetAssump!$B$6:$B$28=$B31))</f>
        <v>0</v>
      </c>
      <c r="AJ31" s="60">
        <f>SUMPRODUCT(AssetAssump!$D$6:$D$28,N(AssetAssump!$B$6:$B$28=$B31))</f>
        <v>0</v>
      </c>
      <c r="AK31" s="60">
        <f>SUMPRODUCT(AssetAssump!$D$6:$D$28,N(AssetAssump!$B$6:$B$28=$B31))</f>
        <v>0</v>
      </c>
      <c r="AL31" s="60">
        <f>SUMPRODUCT(AssetAssump!$D$6:$D$28,N(AssetAssump!$B$6:$B$28=$B31))</f>
        <v>0</v>
      </c>
      <c r="AM31" s="60">
        <f>SUMPRODUCT(AssetAssump!$D$6:$D$28,N(AssetAssump!$B$6:$B$28=$B31))</f>
        <v>0</v>
      </c>
      <c r="AN31" s="60">
        <f>SUMPRODUCT(AssetAssump!$D$6:$D$28,N(AssetAssump!$B$6:$B$28=$B31))</f>
        <v>0</v>
      </c>
      <c r="AO31" s="60">
        <f>SUMPRODUCT(AssetAssump!$D$6:$D$28,N(AssetAssump!$B$6:$B$28=$B31))</f>
        <v>0</v>
      </c>
      <c r="AP31" s="60">
        <f>SUMPRODUCT(AssetAssump!$D$6:$D$28,N(AssetAssump!$B$6:$B$28=$B31))</f>
        <v>0</v>
      </c>
      <c r="AQ31" s="60">
        <f>SUMPRODUCT(AssetAssump!$D$6:$D$28,N(AssetAssump!$B$6:$B$28=$B31))</f>
        <v>0</v>
      </c>
      <c r="AR31" s="60">
        <f>SUMPRODUCT(AssetAssump!$D$6:$D$28,N(AssetAssump!$B$6:$B$28=$B31))</f>
        <v>0</v>
      </c>
      <c r="AS31" s="60">
        <f>SUMPRODUCT(AssetAssump!$D$6:$D$28,N(AssetAssump!$B$6:$B$28=$B31))</f>
        <v>0</v>
      </c>
      <c r="AT31" s="60">
        <f>SUMPRODUCT(AssetAssump!$D$6:$D$28,N(AssetAssump!$B$6:$B$28=$B31))</f>
        <v>0</v>
      </c>
      <c r="AU31" s="60">
        <f>SUMPRODUCT(AssetAssump!$D$6:$D$28,N(AssetAssump!$B$6:$B$28=$B31))</f>
        <v>0</v>
      </c>
      <c r="AV31" s="60">
        <f>SUMPRODUCT(AssetAssump!$D$6:$D$28,N(AssetAssump!$B$6:$B$28=$B31))</f>
        <v>0</v>
      </c>
      <c r="AW31" s="60">
        <f>SUMPRODUCT(AssetAssump!$D$6:$D$28,N(AssetAssump!$B$6:$B$28=$B31))</f>
        <v>0</v>
      </c>
      <c r="AX31" s="60">
        <f>SUMPRODUCT(AssetAssump!$D$6:$D$28,N(AssetAssump!$B$6:$B$28=$B31))</f>
        <v>0</v>
      </c>
      <c r="AY31" s="60">
        <f>SUMPRODUCT(AssetAssump!$D$6:$D$28,N(AssetAssump!$B$6:$B$28=$B31))</f>
        <v>0</v>
      </c>
      <c r="AZ31" s="60">
        <f>SUMPRODUCT(AssetAssump!$D$6:$D$28,N(AssetAssump!$B$6:$B$28=$B31))</f>
        <v>0</v>
      </c>
      <c r="BA31" s="60">
        <f>SUMPRODUCT(AssetAssump!$D$6:$D$28,N(AssetAssump!$B$6:$B$28=$B31))</f>
        <v>0</v>
      </c>
      <c r="BB31" s="60">
        <f>SUMPRODUCT(AssetAssump!$D$6:$D$28,N(AssetAssump!$B$6:$B$28=$B31))</f>
        <v>0</v>
      </c>
      <c r="BC31" s="60">
        <f>SUMPRODUCT(AssetAssump!$D$6:$D$28,N(AssetAssump!$B$6:$B$28=$B31))</f>
        <v>0</v>
      </c>
      <c r="BD31" s="60">
        <f>SUMPRODUCT(AssetAssump!$D$6:$D$28,N(AssetAssump!$B$6:$B$28=$B31))</f>
        <v>0</v>
      </c>
      <c r="BE31" s="60">
        <f>SUMPRODUCT(AssetAssump!$D$6:$D$28,N(AssetAssump!$B$6:$B$28=$B31))</f>
        <v>0</v>
      </c>
      <c r="BF31" s="60">
        <f>SUMPRODUCT(AssetAssump!$D$6:$D$28,N(AssetAssump!$B$6:$B$28=$B31))</f>
        <v>0</v>
      </c>
      <c r="BG31" s="60">
        <f>SUMPRODUCT(AssetAssump!$D$6:$D$28,N(AssetAssump!$B$6:$B$28=$B31))</f>
        <v>0</v>
      </c>
      <c r="BH31" s="60">
        <f>SUMPRODUCT(AssetAssump!$D$6:$D$28,N(AssetAssump!$B$6:$B$28=$B31))</f>
        <v>0</v>
      </c>
      <c r="BI31" s="60">
        <f>SUMPRODUCT(AssetAssump!$D$6:$D$28,N(AssetAssump!$B$6:$B$28=$B31))</f>
        <v>0</v>
      </c>
      <c r="BJ31" s="60">
        <f>SUMPRODUCT(AssetAssump!$D$6:$D$28,N(AssetAssump!$B$6:$B$28=$B31))</f>
        <v>0</v>
      </c>
      <c r="BK31" s="60">
        <f>SUMPRODUCT(AssetAssump!$D$6:$D$28,N(AssetAssump!$B$6:$B$28=$B31))</f>
        <v>0</v>
      </c>
      <c r="BL31" s="60">
        <f>SUMPRODUCT(AssetAssump!$D$6:$D$28,N(AssetAssump!$B$6:$B$28=$B31))</f>
        <v>0</v>
      </c>
      <c r="BM31" s="60">
        <f>SUMPRODUCT(AssetAssump!$D$6:$D$28,N(AssetAssump!$B$6:$B$28=$B31))</f>
        <v>0</v>
      </c>
      <c r="BN31" s="60">
        <f>SUMPRODUCT(AssetAssump!$D$6:$D$28,N(AssetAssump!$B$6:$B$28=$B31))</f>
        <v>0</v>
      </c>
      <c r="BO31" s="60">
        <f>SUMPRODUCT(AssetAssump!$D$6:$D$28,N(AssetAssump!$B$6:$B$28=$B31))</f>
        <v>0</v>
      </c>
      <c r="BP31" s="60">
        <f>SUMPRODUCT(AssetAssump!$D$6:$D$28,N(AssetAssump!$B$6:$B$28=$B31))</f>
        <v>0</v>
      </c>
      <c r="BQ31" s="60">
        <f>SUMPRODUCT(AssetAssump!$D$6:$D$28,N(AssetAssump!$B$6:$B$28=$B31))</f>
        <v>0</v>
      </c>
      <c r="BR31" s="60">
        <f>SUMPRODUCT(AssetAssump!$D$6:$D$28,N(AssetAssump!$B$6:$B$28=$B31))</f>
        <v>0</v>
      </c>
      <c r="BS31" s="60">
        <f>SUMPRODUCT(AssetAssump!$D$6:$D$28,N(AssetAssump!$B$6:$B$28=$B31))</f>
        <v>0</v>
      </c>
      <c r="BT31" s="60">
        <f>SUMPRODUCT(AssetAssump!$D$6:$D$28,N(AssetAssump!$B$6:$B$28=$B31))</f>
        <v>0</v>
      </c>
      <c r="BU31" s="60">
        <f>SUMPRODUCT(AssetAssump!$D$6:$D$28,N(AssetAssump!$B$6:$B$28=$B31))</f>
        <v>0</v>
      </c>
      <c r="BV31" s="60">
        <f>SUMPRODUCT(AssetAssump!$D$6:$D$28,N(AssetAssump!$B$6:$B$28=$B31))</f>
        <v>0</v>
      </c>
      <c r="BW31" s="60">
        <f>SUMPRODUCT(AssetAssump!$D$6:$D$28,N(AssetAssump!$B$6:$B$28=$B31))</f>
        <v>0</v>
      </c>
      <c r="BX31" s="60">
        <f>SUMPRODUCT(AssetAssump!$D$6:$D$28,N(AssetAssump!$B$6:$B$28=$B31))</f>
        <v>0</v>
      </c>
      <c r="BY31" s="60">
        <f>SUMPRODUCT(AssetAssump!$D$6:$D$28,N(AssetAssump!$B$6:$B$28=$B31))</f>
        <v>0</v>
      </c>
      <c r="BZ31" s="60">
        <f>SUMPRODUCT(AssetAssump!$D$6:$D$28,N(AssetAssump!$B$6:$B$28=$B31))</f>
        <v>0</v>
      </c>
      <c r="CA31" s="60">
        <f>SUMPRODUCT(AssetAssump!$D$6:$D$28,N(AssetAssump!$B$6:$B$28=$B31))</f>
        <v>0</v>
      </c>
      <c r="CB31" s="60">
        <f>SUMPRODUCT(AssetAssump!$D$6:$D$28,N(AssetAssump!$B$6:$B$28=$B31))</f>
        <v>0</v>
      </c>
      <c r="CC31" s="60">
        <f>SUMPRODUCT(AssetAssump!$D$6:$D$28,N(AssetAssump!$B$6:$B$28=$B31))</f>
        <v>0</v>
      </c>
      <c r="CD31" s="60">
        <f>SUMPRODUCT(AssetAssump!$D$6:$D$28,N(AssetAssump!$B$6:$B$28=$B31))</f>
        <v>0</v>
      </c>
      <c r="CE31" s="60">
        <f>SUMPRODUCT(AssetAssump!$D$6:$D$28,N(AssetAssump!$B$6:$B$28=$B31))</f>
        <v>0</v>
      </c>
      <c r="CF31" s="60">
        <f>SUMPRODUCT(AssetAssump!$D$6:$D$28,N(AssetAssump!$B$6:$B$28=$B31))</f>
        <v>0</v>
      </c>
      <c r="CG31" s="60">
        <f>SUMPRODUCT(AssetAssump!$D$6:$D$28,N(AssetAssump!$B$6:$B$28=$B31))</f>
        <v>0</v>
      </c>
      <c r="CH31" s="60">
        <f>SUMPRODUCT(AssetAssump!$D$6:$D$28,N(AssetAssump!$B$6:$B$28=$B31))</f>
        <v>0</v>
      </c>
      <c r="CI31" s="60">
        <f>SUMPRODUCT(AssetAssump!$D$6:$D$28,N(AssetAssump!$B$6:$B$28=$B31))</f>
        <v>0</v>
      </c>
      <c r="CJ31" s="60">
        <f>SUMPRODUCT(AssetAssump!$D$6:$D$28,N(AssetAssump!$B$6:$B$28=$B31))</f>
        <v>0</v>
      </c>
      <c r="CK31" s="60">
        <f>SUMPRODUCT(AssetAssump!$D$6:$D$28,N(AssetAssump!$B$6:$B$28=$B31))</f>
        <v>0</v>
      </c>
      <c r="CL31" s="60">
        <f>SUMPRODUCT(AssetAssump!$D$6:$D$28,N(AssetAssump!$B$6:$B$28=$B31))</f>
        <v>0</v>
      </c>
      <c r="CM31" s="60">
        <f>SUMPRODUCT(AssetAssump!$D$6:$D$28,N(AssetAssump!$B$6:$B$28=$B31))</f>
        <v>0</v>
      </c>
      <c r="CN31" s="60">
        <f>SUMPRODUCT(AssetAssump!$D$6:$D$28,N(AssetAssump!$B$6:$B$28=$B31))</f>
        <v>0</v>
      </c>
      <c r="CO31" s="60">
        <f>SUMPRODUCT(AssetAssump!$D$6:$D$28,N(AssetAssump!$B$6:$B$28=$B31))</f>
        <v>0</v>
      </c>
      <c r="CP31" s="60">
        <f>SUMPRODUCT(AssetAssump!$D$6:$D$28,N(AssetAssump!$B$6:$B$28=$B31))</f>
        <v>0</v>
      </c>
      <c r="CQ31" s="60">
        <f>SUMPRODUCT(AssetAssump!$D$6:$D$28,N(AssetAssump!$B$6:$B$28=$B31))</f>
        <v>0</v>
      </c>
      <c r="CR31" s="60">
        <f>SUMPRODUCT(AssetAssump!$D$6:$D$28,N(AssetAssump!$B$6:$B$28=$B31))</f>
        <v>0</v>
      </c>
      <c r="CS31" s="60">
        <f>SUMPRODUCT(AssetAssump!$D$6:$D$28,N(AssetAssump!$B$6:$B$28=$B31))</f>
        <v>0</v>
      </c>
      <c r="CT31" s="60">
        <f>SUMPRODUCT(AssetAssump!$D$6:$D$28,N(AssetAssump!$B$6:$B$28=$B31))</f>
        <v>0</v>
      </c>
      <c r="CU31" s="60">
        <f>SUMPRODUCT(AssetAssump!$D$6:$D$28,N(AssetAssump!$B$6:$B$28=$B31))</f>
        <v>0</v>
      </c>
      <c r="CV31" s="60">
        <f>SUMPRODUCT(AssetAssump!$D$6:$D$28,N(AssetAssump!$B$6:$B$28=$B31))</f>
        <v>0</v>
      </c>
      <c r="CW31" s="60">
        <f>SUMPRODUCT(AssetAssump!$D$6:$D$28,N(AssetAssump!$B$6:$B$28=$B31))</f>
        <v>0</v>
      </c>
      <c r="CX31" s="60">
        <f>SUMPRODUCT(AssetAssump!$D$6:$D$28,N(AssetAssump!$B$6:$B$28=$B31))</f>
        <v>0</v>
      </c>
      <c r="CY31" s="60">
        <f>SUMPRODUCT(AssetAssump!$D$6:$D$28,N(AssetAssump!$B$6:$B$28=$B31))</f>
        <v>0</v>
      </c>
      <c r="CZ31" s="60">
        <f>SUMPRODUCT(AssetAssump!$D$6:$D$28,N(AssetAssump!$B$6:$B$28=$B31))</f>
        <v>0</v>
      </c>
      <c r="DA31" s="60">
        <f>SUMPRODUCT(AssetAssump!$D$6:$D$28,N(AssetAssump!$B$6:$B$28=$B31))</f>
        <v>0</v>
      </c>
      <c r="DB31" s="60">
        <f>SUMPRODUCT(AssetAssump!$D$6:$D$28,N(AssetAssump!$B$6:$B$28=$B31))</f>
        <v>0</v>
      </c>
      <c r="DC31" s="60">
        <f>SUMPRODUCT(AssetAssump!$D$6:$D$28,N(AssetAssump!$B$6:$B$28=$B31))</f>
        <v>0</v>
      </c>
      <c r="DD31" s="60">
        <f>SUMPRODUCT(AssetAssump!$D$6:$D$28,N(AssetAssump!$B$6:$B$28=$B31))</f>
        <v>0</v>
      </c>
      <c r="DE31" s="60">
        <f>SUMPRODUCT(AssetAssump!$D$6:$D$28,N(AssetAssump!$B$6:$B$28=$B31))</f>
        <v>0</v>
      </c>
      <c r="DF31" s="60">
        <f>SUMPRODUCT(AssetAssump!$D$6:$D$28,N(AssetAssump!$B$6:$B$28=$B31))</f>
        <v>0</v>
      </c>
      <c r="DG31" s="60">
        <f>SUMPRODUCT(AssetAssump!$D$6:$D$28,N(AssetAssump!$B$6:$B$28=$B31))</f>
        <v>0</v>
      </c>
      <c r="DH31" s="60">
        <f>SUMPRODUCT(AssetAssump!$D$6:$D$28,N(AssetAssump!$B$6:$B$28=$B31))</f>
        <v>0</v>
      </c>
      <c r="DI31" s="60">
        <f>SUMPRODUCT(AssetAssump!$D$6:$D$28,N(AssetAssump!$B$6:$B$28=$B31))</f>
        <v>0</v>
      </c>
      <c r="DJ31" s="60">
        <f>SUMPRODUCT(AssetAssump!$D$6:$D$28,N(AssetAssump!$B$6:$B$28=$B31))</f>
        <v>0</v>
      </c>
      <c r="DK31" s="60">
        <f>SUMPRODUCT(AssetAssump!$D$6:$D$28,N(AssetAssump!$B$6:$B$28=$B31))</f>
        <v>0</v>
      </c>
      <c r="DL31" s="60">
        <f>SUMPRODUCT(AssetAssump!$D$6:$D$28,N(AssetAssump!$B$6:$B$28=$B31))</f>
        <v>0</v>
      </c>
      <c r="DM31" s="60">
        <f>SUMPRODUCT(AssetAssump!$D$6:$D$28,N(AssetAssump!$B$6:$B$28=$B31))</f>
        <v>0</v>
      </c>
      <c r="DN31" s="60">
        <f>SUMPRODUCT(AssetAssump!$D$6:$D$28,N(AssetAssump!$B$6:$B$28=$B31))</f>
        <v>0</v>
      </c>
      <c r="DO31" s="60">
        <f>SUMPRODUCT(AssetAssump!$D$6:$D$28,N(AssetAssump!$B$6:$B$28=$B31))</f>
        <v>0</v>
      </c>
      <c r="DP31" s="60">
        <f>SUMPRODUCT(AssetAssump!$D$6:$D$28,N(AssetAssump!$B$6:$B$28=$B31))</f>
        <v>0</v>
      </c>
      <c r="DQ31" s="60">
        <f>SUMPRODUCT(AssetAssump!$D$6:$D$28,N(AssetAssump!$B$6:$B$28=$B31))</f>
        <v>0</v>
      </c>
      <c r="DR31" s="60">
        <f>SUMPRODUCT(AssetAssump!$D$6:$D$28,N(AssetAssump!$B$6:$B$28=$B31))</f>
        <v>0</v>
      </c>
      <c r="DS31" s="60">
        <f>SUMPRODUCT(AssetAssump!$D$6:$D$28,N(AssetAssump!$B$6:$B$28=$B31))</f>
        <v>0</v>
      </c>
      <c r="DT31" s="60">
        <f>SUMPRODUCT(AssetAssump!$D$6:$D$28,N(AssetAssump!$B$6:$B$28=$B31))</f>
        <v>0</v>
      </c>
      <c r="DU31" s="60">
        <f>SUMPRODUCT(AssetAssump!$D$6:$D$28,N(AssetAssump!$B$6:$B$28=$B31))</f>
        <v>0</v>
      </c>
      <c r="DV31" s="60">
        <f>SUMPRODUCT(AssetAssump!$D$6:$D$28,N(AssetAssump!$B$6:$B$28=$B31))</f>
        <v>0</v>
      </c>
      <c r="DW31" s="60">
        <f>SUMPRODUCT(AssetAssump!$D$6:$D$28,N(AssetAssump!$B$6:$B$28=$B31))</f>
        <v>0</v>
      </c>
      <c r="DX31" s="60">
        <f>SUMPRODUCT(AssetAssump!$D$6:$D$28,N(AssetAssump!$B$6:$B$28=$B31))</f>
        <v>0</v>
      </c>
      <c r="DY31" s="60">
        <f>SUMPRODUCT(AssetAssump!$D$6:$D$28,N(AssetAssump!$B$6:$B$28=$B31))</f>
        <v>0</v>
      </c>
      <c r="DZ31" s="60">
        <f>SUMPRODUCT(AssetAssump!$D$6:$D$28,N(AssetAssump!$B$6:$B$28=$B31))</f>
        <v>0</v>
      </c>
      <c r="EA31" s="60">
        <f>SUMPRODUCT(AssetAssump!$D$6:$D$28,N(AssetAssump!$B$6:$B$28=$B31))</f>
        <v>0</v>
      </c>
      <c r="EB31" s="60">
        <f>SUMPRODUCT(AssetAssump!$D$6:$D$28,N(AssetAssump!$B$6:$B$28=$B31))</f>
        <v>0</v>
      </c>
      <c r="EC31" s="60">
        <f>SUMPRODUCT(AssetAssump!$D$6:$D$28,N(AssetAssump!$B$6:$B$28=$B31))</f>
        <v>0</v>
      </c>
      <c r="ED31" s="60">
        <f>SUMPRODUCT(AssetAssump!$D$6:$D$28,N(AssetAssump!$B$6:$B$28=$B31))</f>
        <v>0</v>
      </c>
      <c r="EE31" s="60">
        <f>SUMPRODUCT(AssetAssump!$D$6:$D$28,N(AssetAssump!$B$6:$B$28=$B31))</f>
        <v>0</v>
      </c>
      <c r="EF31" s="60">
        <f>SUMPRODUCT(AssetAssump!$D$6:$D$28,N(AssetAssump!$B$6:$B$28=$B31))</f>
        <v>0</v>
      </c>
      <c r="EG31" s="60">
        <f>SUMPRODUCT(AssetAssump!$D$6:$D$28,N(AssetAssump!$B$6:$B$28=$B31))</f>
        <v>0</v>
      </c>
      <c r="EH31" s="60">
        <f>SUMPRODUCT(AssetAssump!$D$6:$D$28,N(AssetAssump!$B$6:$B$28=$B31))</f>
        <v>0</v>
      </c>
      <c r="EI31" s="60">
        <f>SUMPRODUCT(AssetAssump!$D$6:$D$28,N(AssetAssump!$B$6:$B$28=$B31))</f>
        <v>0</v>
      </c>
      <c r="EJ31" s="60">
        <f>SUMPRODUCT(AssetAssump!$D$6:$D$28,N(AssetAssump!$B$6:$B$28=$B31))</f>
        <v>0</v>
      </c>
      <c r="EK31" s="60">
        <f>SUMPRODUCT(AssetAssump!$D$6:$D$28,N(AssetAssump!$B$6:$B$28=$B31))</f>
        <v>0</v>
      </c>
      <c r="EL31" s="60">
        <f>SUMPRODUCT(AssetAssump!$D$6:$D$28,N(AssetAssump!$B$6:$B$28=$B31))</f>
        <v>0</v>
      </c>
    </row>
    <row r="32" spans="1:142" s="39" customFormat="1"/>
    <row r="33" spans="2:142" s="53" customFormat="1">
      <c r="B33" s="58" t="s">
        <v>36</v>
      </c>
      <c r="C33" s="1"/>
    </row>
    <row r="34" spans="2:142" s="53" customFormat="1">
      <c r="B34" s="56" t="s">
        <v>35</v>
      </c>
      <c r="C34" s="57">
        <f>SUM(AssetAssump!$D$7:$D$9)</f>
        <v>0.39454550470687227</v>
      </c>
    </row>
    <row r="35" spans="2:142" s="53" customFormat="1">
      <c r="B35" s="56" t="s">
        <v>34</v>
      </c>
      <c r="C35" s="57">
        <f>AssetAssump!$E$24</f>
        <v>3.3000000000000002E-2</v>
      </c>
    </row>
    <row r="36" spans="2:142" s="53" customFormat="1">
      <c r="B36" s="56" t="s">
        <v>33</v>
      </c>
      <c r="C36" s="55">
        <f>SUMPRODUCT(AssetAssump!$D$7:$D$9,AssetAssump!$E$7:$E$9)/'Yield Curve_USD_workflow'!C34</f>
        <v>4.8405894327093163E-2</v>
      </c>
    </row>
    <row r="37" spans="2:142" s="53" customFormat="1">
      <c r="B37" s="56" t="s">
        <v>32</v>
      </c>
      <c r="C37" s="57">
        <f ca="1">OtherAssump!$C$6+'Yield Curve_USD_workflow'!C36-'Yield Curve_USD_workflow'!C35</f>
        <v>5.2968249478031471E-2</v>
      </c>
    </row>
    <row r="38" spans="2:142" s="53" customFormat="1">
      <c r="B38" s="56" t="s">
        <v>31</v>
      </c>
      <c r="C38" s="55">
        <f ca="1">(OtherAssump!$C$6-C35)*C34</f>
        <v>1.8000567156789529E-3</v>
      </c>
    </row>
    <row r="39" spans="2:142" s="53" customFormat="1"/>
    <row r="40" spans="2:142">
      <c r="B40" s="44" t="s">
        <v>24</v>
      </c>
      <c r="C40" s="44">
        <v>0</v>
      </c>
      <c r="D40" s="43">
        <v>1</v>
      </c>
      <c r="E40" s="43">
        <v>2</v>
      </c>
      <c r="F40" s="43">
        <v>3</v>
      </c>
      <c r="G40" s="43">
        <v>4</v>
      </c>
      <c r="H40" s="43">
        <v>5</v>
      </c>
      <c r="I40" s="43">
        <v>6</v>
      </c>
      <c r="J40" s="43">
        <v>7</v>
      </c>
      <c r="K40" s="43">
        <v>8</v>
      </c>
      <c r="L40" s="43">
        <v>9</v>
      </c>
      <c r="M40" s="43">
        <v>10</v>
      </c>
      <c r="N40" s="43">
        <v>11</v>
      </c>
      <c r="O40" s="43">
        <v>12</v>
      </c>
      <c r="P40" s="43">
        <v>13</v>
      </c>
      <c r="Q40" s="43">
        <v>14</v>
      </c>
      <c r="R40" s="43">
        <v>15</v>
      </c>
      <c r="S40" s="43">
        <v>16</v>
      </c>
      <c r="T40" s="43">
        <v>17</v>
      </c>
      <c r="U40" s="43">
        <v>18</v>
      </c>
      <c r="V40" s="43">
        <v>19</v>
      </c>
      <c r="W40" s="43">
        <v>20</v>
      </c>
      <c r="X40" s="43">
        <v>21</v>
      </c>
      <c r="Y40" s="43">
        <v>22</v>
      </c>
      <c r="Z40" s="43">
        <v>23</v>
      </c>
      <c r="AA40" s="43">
        <v>24</v>
      </c>
      <c r="AB40" s="43">
        <v>25</v>
      </c>
      <c r="AC40" s="43">
        <v>26</v>
      </c>
      <c r="AD40" s="43">
        <v>27</v>
      </c>
      <c r="AE40" s="43">
        <v>28</v>
      </c>
      <c r="AF40" s="43">
        <v>29</v>
      </c>
      <c r="AG40" s="43">
        <v>30</v>
      </c>
      <c r="AH40" s="43">
        <v>31</v>
      </c>
      <c r="AI40" s="43">
        <v>32</v>
      </c>
      <c r="AJ40" s="43">
        <v>33</v>
      </c>
      <c r="AK40" s="43">
        <v>34</v>
      </c>
      <c r="AL40" s="43">
        <v>35</v>
      </c>
      <c r="AM40" s="43">
        <v>36</v>
      </c>
      <c r="AN40" s="43">
        <v>37</v>
      </c>
      <c r="AO40" s="43">
        <v>38</v>
      </c>
      <c r="AP40" s="43">
        <v>39</v>
      </c>
      <c r="AQ40" s="43">
        <v>40</v>
      </c>
      <c r="AR40" s="43">
        <v>41</v>
      </c>
      <c r="AS40" s="43">
        <v>42</v>
      </c>
      <c r="AT40" s="43">
        <v>43</v>
      </c>
      <c r="AU40" s="43">
        <v>44</v>
      </c>
      <c r="AV40" s="43">
        <v>45</v>
      </c>
      <c r="AW40" s="43">
        <v>46</v>
      </c>
      <c r="AX40" s="43">
        <v>47</v>
      </c>
      <c r="AY40" s="43">
        <v>48</v>
      </c>
      <c r="AZ40" s="43">
        <v>49</v>
      </c>
      <c r="BA40" s="43">
        <v>50</v>
      </c>
      <c r="BB40" s="43">
        <v>51</v>
      </c>
      <c r="BC40" s="43">
        <v>52</v>
      </c>
      <c r="BD40" s="43">
        <v>53</v>
      </c>
      <c r="BE40" s="43">
        <v>54</v>
      </c>
      <c r="BF40" s="43">
        <v>55</v>
      </c>
      <c r="BG40" s="43">
        <v>56</v>
      </c>
      <c r="BH40" s="43">
        <v>57</v>
      </c>
      <c r="BI40" s="43">
        <v>58</v>
      </c>
      <c r="BJ40" s="43">
        <v>59</v>
      </c>
      <c r="BK40" s="43">
        <v>60</v>
      </c>
      <c r="BL40" s="43">
        <v>61</v>
      </c>
      <c r="BM40" s="43">
        <v>62</v>
      </c>
      <c r="BN40" s="43">
        <v>63</v>
      </c>
      <c r="BO40" s="43">
        <v>64</v>
      </c>
      <c r="BP40" s="43">
        <v>65</v>
      </c>
      <c r="BQ40" s="43">
        <v>66</v>
      </c>
      <c r="BR40" s="43">
        <v>67</v>
      </c>
      <c r="BS40" s="43">
        <v>68</v>
      </c>
      <c r="BT40" s="43">
        <v>69</v>
      </c>
      <c r="BU40" s="43">
        <v>70</v>
      </c>
      <c r="BV40" s="43">
        <v>71</v>
      </c>
      <c r="BW40" s="43">
        <v>72</v>
      </c>
      <c r="BX40" s="43">
        <v>73</v>
      </c>
      <c r="BY40" s="43">
        <v>74</v>
      </c>
      <c r="BZ40" s="43">
        <v>75</v>
      </c>
      <c r="CA40" s="43">
        <v>76</v>
      </c>
      <c r="CB40" s="43">
        <v>77</v>
      </c>
      <c r="CC40" s="43">
        <v>78</v>
      </c>
      <c r="CD40" s="43">
        <v>79</v>
      </c>
      <c r="CE40" s="43">
        <v>80</v>
      </c>
      <c r="CF40" s="43">
        <v>81</v>
      </c>
      <c r="CG40" s="43">
        <v>82</v>
      </c>
      <c r="CH40" s="43">
        <v>83</v>
      </c>
      <c r="CI40" s="43">
        <v>84</v>
      </c>
      <c r="CJ40" s="43">
        <v>85</v>
      </c>
      <c r="CK40" s="43">
        <v>86</v>
      </c>
      <c r="CL40" s="43">
        <v>87</v>
      </c>
      <c r="CM40" s="43">
        <v>88</v>
      </c>
      <c r="CN40" s="43">
        <v>89</v>
      </c>
      <c r="CO40" s="43">
        <v>90</v>
      </c>
      <c r="CP40" s="43">
        <v>91</v>
      </c>
      <c r="CQ40" s="43">
        <v>92</v>
      </c>
      <c r="CR40" s="43">
        <v>93</v>
      </c>
      <c r="CS40" s="43">
        <v>94</v>
      </c>
      <c r="CT40" s="43">
        <v>95</v>
      </c>
      <c r="CU40" s="43">
        <v>96</v>
      </c>
      <c r="CV40" s="43">
        <v>97</v>
      </c>
      <c r="CW40" s="43">
        <v>98</v>
      </c>
      <c r="CX40" s="43">
        <v>99</v>
      </c>
      <c r="CY40" s="43">
        <v>100</v>
      </c>
      <c r="CZ40" s="43">
        <v>101</v>
      </c>
      <c r="DA40" s="43">
        <v>102</v>
      </c>
      <c r="DB40" s="43">
        <v>103</v>
      </c>
      <c r="DC40" s="43">
        <v>104</v>
      </c>
      <c r="DD40" s="43">
        <v>105</v>
      </c>
      <c r="DE40" s="43">
        <v>106</v>
      </c>
      <c r="DF40" s="43">
        <v>107</v>
      </c>
      <c r="DG40" s="43">
        <v>108</v>
      </c>
      <c r="DH40" s="43">
        <v>109</v>
      </c>
      <c r="DI40" s="43">
        <v>110</v>
      </c>
      <c r="DJ40" s="43">
        <v>111</v>
      </c>
      <c r="DK40" s="43">
        <v>112</v>
      </c>
      <c r="DL40" s="43">
        <v>113</v>
      </c>
      <c r="DM40" s="43">
        <v>114</v>
      </c>
      <c r="DN40" s="43">
        <v>115</v>
      </c>
      <c r="DO40" s="43">
        <v>116</v>
      </c>
      <c r="DP40" s="43">
        <v>117</v>
      </c>
      <c r="DQ40" s="43">
        <v>118</v>
      </c>
      <c r="DR40" s="43">
        <v>119</v>
      </c>
      <c r="DS40" s="43">
        <v>120</v>
      </c>
      <c r="DT40" s="43">
        <v>121</v>
      </c>
      <c r="DU40" s="43">
        <v>122</v>
      </c>
      <c r="DV40" s="43">
        <v>123</v>
      </c>
      <c r="DW40" s="43">
        <v>124</v>
      </c>
      <c r="DX40" s="43">
        <v>125</v>
      </c>
      <c r="DY40" s="43">
        <v>126</v>
      </c>
      <c r="DZ40" s="43">
        <v>127</v>
      </c>
      <c r="EA40" s="43">
        <v>128</v>
      </c>
      <c r="EB40" s="43">
        <v>129</v>
      </c>
      <c r="EC40" s="43">
        <v>130</v>
      </c>
      <c r="ED40" s="43">
        <v>131</v>
      </c>
      <c r="EE40" s="43">
        <v>132</v>
      </c>
      <c r="EF40" s="43">
        <v>133</v>
      </c>
      <c r="EG40" s="43">
        <v>134</v>
      </c>
      <c r="EH40" s="43">
        <v>135</v>
      </c>
      <c r="EI40" s="43">
        <v>136</v>
      </c>
      <c r="EJ40" s="43">
        <v>137</v>
      </c>
      <c r="EK40" s="43">
        <v>138</v>
      </c>
      <c r="EL40" s="43">
        <v>139</v>
      </c>
    </row>
    <row r="41" spans="2:142" ht="15.75" customHeight="1">
      <c r="B41" s="49" t="s">
        <v>87</v>
      </c>
      <c r="C41" s="54">
        <f t="shared" ref="C41:AH41" ca="1" si="16">IF((C40-$D$40)&lt;=30,
$C$36,
IF(AND((C40-$D$40)&gt;30,(C40-$D$40)&lt;=40),
$C$36+($C$37-$C$36)*(C40-$D$40-30)/10,
$C$37))</f>
        <v>4.8405894327093163E-2</v>
      </c>
      <c r="D41" s="54">
        <f t="shared" ca="1" si="16"/>
        <v>4.8405894327093163E-2</v>
      </c>
      <c r="E41" s="54">
        <f t="shared" ca="1" si="16"/>
        <v>4.8405894327093163E-2</v>
      </c>
      <c r="F41" s="54">
        <f t="shared" ca="1" si="16"/>
        <v>4.8405894327093163E-2</v>
      </c>
      <c r="G41" s="54">
        <f t="shared" ca="1" si="16"/>
        <v>4.8405894327093163E-2</v>
      </c>
      <c r="H41" s="54">
        <f t="shared" ca="1" si="16"/>
        <v>4.8405894327093163E-2</v>
      </c>
      <c r="I41" s="54">
        <f t="shared" ca="1" si="16"/>
        <v>4.8405894327093163E-2</v>
      </c>
      <c r="J41" s="54">
        <f t="shared" ca="1" si="16"/>
        <v>4.8405894327093163E-2</v>
      </c>
      <c r="K41" s="54">
        <f t="shared" ca="1" si="16"/>
        <v>4.8405894327093163E-2</v>
      </c>
      <c r="L41" s="54">
        <f t="shared" ca="1" si="16"/>
        <v>4.8405894327093163E-2</v>
      </c>
      <c r="M41" s="54">
        <f t="shared" ca="1" si="16"/>
        <v>4.8405894327093163E-2</v>
      </c>
      <c r="N41" s="54">
        <f t="shared" ca="1" si="16"/>
        <v>4.8405894327093163E-2</v>
      </c>
      <c r="O41" s="54">
        <f t="shared" ca="1" si="16"/>
        <v>4.8405894327093163E-2</v>
      </c>
      <c r="P41" s="54">
        <f t="shared" ca="1" si="16"/>
        <v>4.8405894327093163E-2</v>
      </c>
      <c r="Q41" s="54">
        <f t="shared" ca="1" si="16"/>
        <v>4.8405894327093163E-2</v>
      </c>
      <c r="R41" s="54">
        <f t="shared" ca="1" si="16"/>
        <v>4.8405894327093163E-2</v>
      </c>
      <c r="S41" s="54">
        <f t="shared" ca="1" si="16"/>
        <v>4.8405894327093163E-2</v>
      </c>
      <c r="T41" s="54">
        <f t="shared" ca="1" si="16"/>
        <v>4.8405894327093163E-2</v>
      </c>
      <c r="U41" s="54">
        <f t="shared" ca="1" si="16"/>
        <v>4.8405894327093163E-2</v>
      </c>
      <c r="V41" s="54">
        <f t="shared" ca="1" si="16"/>
        <v>4.8405894327093163E-2</v>
      </c>
      <c r="W41" s="54">
        <f t="shared" ca="1" si="16"/>
        <v>4.8405894327093163E-2</v>
      </c>
      <c r="X41" s="54">
        <f t="shared" ca="1" si="16"/>
        <v>4.8405894327093163E-2</v>
      </c>
      <c r="Y41" s="54">
        <f t="shared" ca="1" si="16"/>
        <v>4.8405894327093163E-2</v>
      </c>
      <c r="Z41" s="54">
        <f t="shared" ca="1" si="16"/>
        <v>4.8405894327093163E-2</v>
      </c>
      <c r="AA41" s="54">
        <f t="shared" ca="1" si="16"/>
        <v>4.8405894327093163E-2</v>
      </c>
      <c r="AB41" s="54">
        <f t="shared" ca="1" si="16"/>
        <v>4.8405894327093163E-2</v>
      </c>
      <c r="AC41" s="54">
        <f t="shared" ca="1" si="16"/>
        <v>4.8405894327093163E-2</v>
      </c>
      <c r="AD41" s="54">
        <f t="shared" ca="1" si="16"/>
        <v>4.8405894327093163E-2</v>
      </c>
      <c r="AE41" s="54">
        <f t="shared" ca="1" si="16"/>
        <v>4.8405894327093163E-2</v>
      </c>
      <c r="AF41" s="54">
        <f t="shared" ca="1" si="16"/>
        <v>4.8405894327093163E-2</v>
      </c>
      <c r="AG41" s="54">
        <f t="shared" ca="1" si="16"/>
        <v>4.8405894327093163E-2</v>
      </c>
      <c r="AH41" s="54">
        <f t="shared" ca="1" si="16"/>
        <v>4.8405894327093163E-2</v>
      </c>
      <c r="AI41" s="54">
        <f t="shared" ref="AI41:BN41" ca="1" si="17">IF((AI40-$D$40)&lt;=30,
$C$36,
IF(AND((AI40-$D$40)&gt;30,(AI40-$D$40)&lt;=40),
$C$36+($C$37-$C$36)*(AI40-$D$40-30)/10,
$C$37))</f>
        <v>4.8862129842186991E-2</v>
      </c>
      <c r="AJ41" s="54">
        <f t="shared" ca="1" si="17"/>
        <v>4.9318365357280826E-2</v>
      </c>
      <c r="AK41" s="54">
        <f t="shared" ca="1" si="17"/>
        <v>4.9774600872374654E-2</v>
      </c>
      <c r="AL41" s="54">
        <f t="shared" ca="1" si="17"/>
        <v>5.0230836387468489E-2</v>
      </c>
      <c r="AM41" s="54">
        <f t="shared" ca="1" si="17"/>
        <v>5.0687071902562317E-2</v>
      </c>
      <c r="AN41" s="54">
        <f t="shared" ca="1" si="17"/>
        <v>5.1143307417656145E-2</v>
      </c>
      <c r="AO41" s="54">
        <f t="shared" ca="1" si="17"/>
        <v>5.159954293274998E-2</v>
      </c>
      <c r="AP41" s="54">
        <f t="shared" ca="1" si="17"/>
        <v>5.2055778447843808E-2</v>
      </c>
      <c r="AQ41" s="54">
        <f t="shared" ca="1" si="17"/>
        <v>5.2512013962937643E-2</v>
      </c>
      <c r="AR41" s="54">
        <f t="shared" ca="1" si="17"/>
        <v>5.2968249478031471E-2</v>
      </c>
      <c r="AS41" s="54">
        <f t="shared" ca="1" si="17"/>
        <v>5.2968249478031471E-2</v>
      </c>
      <c r="AT41" s="54">
        <f t="shared" ca="1" si="17"/>
        <v>5.2968249478031471E-2</v>
      </c>
      <c r="AU41" s="54">
        <f t="shared" ca="1" si="17"/>
        <v>5.2968249478031471E-2</v>
      </c>
      <c r="AV41" s="54">
        <f t="shared" ca="1" si="17"/>
        <v>5.2968249478031471E-2</v>
      </c>
      <c r="AW41" s="54">
        <f t="shared" ca="1" si="17"/>
        <v>5.2968249478031471E-2</v>
      </c>
      <c r="AX41" s="54">
        <f t="shared" ca="1" si="17"/>
        <v>5.2968249478031471E-2</v>
      </c>
      <c r="AY41" s="54">
        <f t="shared" ca="1" si="17"/>
        <v>5.2968249478031471E-2</v>
      </c>
      <c r="AZ41" s="54">
        <f t="shared" ca="1" si="17"/>
        <v>5.2968249478031471E-2</v>
      </c>
      <c r="BA41" s="54">
        <f t="shared" ca="1" si="17"/>
        <v>5.2968249478031471E-2</v>
      </c>
      <c r="BB41" s="54">
        <f t="shared" ca="1" si="17"/>
        <v>5.2968249478031471E-2</v>
      </c>
      <c r="BC41" s="54">
        <f t="shared" ca="1" si="17"/>
        <v>5.2968249478031471E-2</v>
      </c>
      <c r="BD41" s="54">
        <f t="shared" ca="1" si="17"/>
        <v>5.2968249478031471E-2</v>
      </c>
      <c r="BE41" s="54">
        <f t="shared" ca="1" si="17"/>
        <v>5.2968249478031471E-2</v>
      </c>
      <c r="BF41" s="54">
        <f t="shared" ca="1" si="17"/>
        <v>5.2968249478031471E-2</v>
      </c>
      <c r="BG41" s="54">
        <f t="shared" ca="1" si="17"/>
        <v>5.2968249478031471E-2</v>
      </c>
      <c r="BH41" s="54">
        <f t="shared" ca="1" si="17"/>
        <v>5.2968249478031471E-2</v>
      </c>
      <c r="BI41" s="54">
        <f t="shared" ca="1" si="17"/>
        <v>5.2968249478031471E-2</v>
      </c>
      <c r="BJ41" s="54">
        <f t="shared" ca="1" si="17"/>
        <v>5.2968249478031471E-2</v>
      </c>
      <c r="BK41" s="54">
        <f t="shared" ca="1" si="17"/>
        <v>5.2968249478031471E-2</v>
      </c>
      <c r="BL41" s="54">
        <f t="shared" ca="1" si="17"/>
        <v>5.2968249478031471E-2</v>
      </c>
      <c r="BM41" s="54">
        <f t="shared" ca="1" si="17"/>
        <v>5.2968249478031471E-2</v>
      </c>
      <c r="BN41" s="54">
        <f t="shared" ca="1" si="17"/>
        <v>5.2968249478031471E-2</v>
      </c>
      <c r="BO41" s="54">
        <f t="shared" ref="BO41:CT41" ca="1" si="18">IF((BO40-$D$40)&lt;=30,
$C$36,
IF(AND((BO40-$D$40)&gt;30,(BO40-$D$40)&lt;=40),
$C$36+($C$37-$C$36)*(BO40-$D$40-30)/10,
$C$37))</f>
        <v>5.2968249478031471E-2</v>
      </c>
      <c r="BP41" s="54">
        <f t="shared" ca="1" si="18"/>
        <v>5.2968249478031471E-2</v>
      </c>
      <c r="BQ41" s="54">
        <f t="shared" ca="1" si="18"/>
        <v>5.2968249478031471E-2</v>
      </c>
      <c r="BR41" s="54">
        <f t="shared" ca="1" si="18"/>
        <v>5.2968249478031471E-2</v>
      </c>
      <c r="BS41" s="54">
        <f t="shared" ca="1" si="18"/>
        <v>5.2968249478031471E-2</v>
      </c>
      <c r="BT41" s="54">
        <f t="shared" ca="1" si="18"/>
        <v>5.2968249478031471E-2</v>
      </c>
      <c r="BU41" s="54">
        <f t="shared" ca="1" si="18"/>
        <v>5.2968249478031471E-2</v>
      </c>
      <c r="BV41" s="54">
        <f t="shared" ca="1" si="18"/>
        <v>5.2968249478031471E-2</v>
      </c>
      <c r="BW41" s="54">
        <f t="shared" ca="1" si="18"/>
        <v>5.2968249478031471E-2</v>
      </c>
      <c r="BX41" s="54">
        <f t="shared" ca="1" si="18"/>
        <v>5.2968249478031471E-2</v>
      </c>
      <c r="BY41" s="54">
        <f t="shared" ca="1" si="18"/>
        <v>5.2968249478031471E-2</v>
      </c>
      <c r="BZ41" s="54">
        <f t="shared" ca="1" si="18"/>
        <v>5.2968249478031471E-2</v>
      </c>
      <c r="CA41" s="54">
        <f t="shared" ca="1" si="18"/>
        <v>5.2968249478031471E-2</v>
      </c>
      <c r="CB41" s="54">
        <f t="shared" ca="1" si="18"/>
        <v>5.2968249478031471E-2</v>
      </c>
      <c r="CC41" s="54">
        <f t="shared" ca="1" si="18"/>
        <v>5.2968249478031471E-2</v>
      </c>
      <c r="CD41" s="54">
        <f t="shared" ca="1" si="18"/>
        <v>5.2968249478031471E-2</v>
      </c>
      <c r="CE41" s="54">
        <f t="shared" ca="1" si="18"/>
        <v>5.2968249478031471E-2</v>
      </c>
      <c r="CF41" s="54">
        <f t="shared" ca="1" si="18"/>
        <v>5.2968249478031471E-2</v>
      </c>
      <c r="CG41" s="54">
        <f t="shared" ca="1" si="18"/>
        <v>5.2968249478031471E-2</v>
      </c>
      <c r="CH41" s="54">
        <f t="shared" ca="1" si="18"/>
        <v>5.2968249478031471E-2</v>
      </c>
      <c r="CI41" s="54">
        <f t="shared" ca="1" si="18"/>
        <v>5.2968249478031471E-2</v>
      </c>
      <c r="CJ41" s="54">
        <f t="shared" ca="1" si="18"/>
        <v>5.2968249478031471E-2</v>
      </c>
      <c r="CK41" s="54">
        <f t="shared" ca="1" si="18"/>
        <v>5.2968249478031471E-2</v>
      </c>
      <c r="CL41" s="54">
        <f t="shared" ca="1" si="18"/>
        <v>5.2968249478031471E-2</v>
      </c>
      <c r="CM41" s="54">
        <f t="shared" ca="1" si="18"/>
        <v>5.2968249478031471E-2</v>
      </c>
      <c r="CN41" s="54">
        <f t="shared" ca="1" si="18"/>
        <v>5.2968249478031471E-2</v>
      </c>
      <c r="CO41" s="54">
        <f t="shared" ca="1" si="18"/>
        <v>5.2968249478031471E-2</v>
      </c>
      <c r="CP41" s="54">
        <f t="shared" ca="1" si="18"/>
        <v>5.2968249478031471E-2</v>
      </c>
      <c r="CQ41" s="54">
        <f t="shared" ca="1" si="18"/>
        <v>5.2968249478031471E-2</v>
      </c>
      <c r="CR41" s="54">
        <f t="shared" ca="1" si="18"/>
        <v>5.2968249478031471E-2</v>
      </c>
      <c r="CS41" s="54">
        <f t="shared" ca="1" si="18"/>
        <v>5.2968249478031471E-2</v>
      </c>
      <c r="CT41" s="54">
        <f t="shared" ca="1" si="18"/>
        <v>5.2968249478031471E-2</v>
      </c>
      <c r="CU41" s="54">
        <f t="shared" ref="CU41:DZ41" ca="1" si="19">IF((CU40-$D$40)&lt;=30,
$C$36,
IF(AND((CU40-$D$40)&gt;30,(CU40-$D$40)&lt;=40),
$C$36+($C$37-$C$36)*(CU40-$D$40-30)/10,
$C$37))</f>
        <v>5.2968249478031471E-2</v>
      </c>
      <c r="CV41" s="54">
        <f t="shared" ca="1" si="19"/>
        <v>5.2968249478031471E-2</v>
      </c>
      <c r="CW41" s="54">
        <f t="shared" ca="1" si="19"/>
        <v>5.2968249478031471E-2</v>
      </c>
      <c r="CX41" s="54">
        <f t="shared" ca="1" si="19"/>
        <v>5.2968249478031471E-2</v>
      </c>
      <c r="CY41" s="54">
        <f t="shared" ca="1" si="19"/>
        <v>5.2968249478031471E-2</v>
      </c>
      <c r="CZ41" s="54">
        <f t="shared" ca="1" si="19"/>
        <v>5.2968249478031471E-2</v>
      </c>
      <c r="DA41" s="54">
        <f t="shared" ca="1" si="19"/>
        <v>5.2968249478031471E-2</v>
      </c>
      <c r="DB41" s="54">
        <f t="shared" ca="1" si="19"/>
        <v>5.2968249478031471E-2</v>
      </c>
      <c r="DC41" s="54">
        <f t="shared" ca="1" si="19"/>
        <v>5.2968249478031471E-2</v>
      </c>
      <c r="DD41" s="54">
        <f t="shared" ca="1" si="19"/>
        <v>5.2968249478031471E-2</v>
      </c>
      <c r="DE41" s="54">
        <f t="shared" ca="1" si="19"/>
        <v>5.2968249478031471E-2</v>
      </c>
      <c r="DF41" s="54">
        <f t="shared" ca="1" si="19"/>
        <v>5.2968249478031471E-2</v>
      </c>
      <c r="DG41" s="54">
        <f t="shared" ca="1" si="19"/>
        <v>5.2968249478031471E-2</v>
      </c>
      <c r="DH41" s="54">
        <f t="shared" ca="1" si="19"/>
        <v>5.2968249478031471E-2</v>
      </c>
      <c r="DI41" s="54">
        <f t="shared" ca="1" si="19"/>
        <v>5.2968249478031471E-2</v>
      </c>
      <c r="DJ41" s="54">
        <f t="shared" ca="1" si="19"/>
        <v>5.2968249478031471E-2</v>
      </c>
      <c r="DK41" s="54">
        <f t="shared" ca="1" si="19"/>
        <v>5.2968249478031471E-2</v>
      </c>
      <c r="DL41" s="54">
        <f t="shared" ca="1" si="19"/>
        <v>5.2968249478031471E-2</v>
      </c>
      <c r="DM41" s="54">
        <f t="shared" ca="1" si="19"/>
        <v>5.2968249478031471E-2</v>
      </c>
      <c r="DN41" s="54">
        <f t="shared" ca="1" si="19"/>
        <v>5.2968249478031471E-2</v>
      </c>
      <c r="DO41" s="54">
        <f t="shared" ca="1" si="19"/>
        <v>5.2968249478031471E-2</v>
      </c>
      <c r="DP41" s="54">
        <f t="shared" ca="1" si="19"/>
        <v>5.2968249478031471E-2</v>
      </c>
      <c r="DQ41" s="54">
        <f t="shared" ca="1" si="19"/>
        <v>5.2968249478031471E-2</v>
      </c>
      <c r="DR41" s="54">
        <f t="shared" ca="1" si="19"/>
        <v>5.2968249478031471E-2</v>
      </c>
      <c r="DS41" s="54">
        <f t="shared" ca="1" si="19"/>
        <v>5.2968249478031471E-2</v>
      </c>
      <c r="DT41" s="54">
        <f t="shared" ca="1" si="19"/>
        <v>5.2968249478031471E-2</v>
      </c>
      <c r="DU41" s="54">
        <f t="shared" ca="1" si="19"/>
        <v>5.2968249478031471E-2</v>
      </c>
      <c r="DV41" s="54">
        <f t="shared" ca="1" si="19"/>
        <v>5.2968249478031471E-2</v>
      </c>
      <c r="DW41" s="54">
        <f t="shared" ca="1" si="19"/>
        <v>5.2968249478031471E-2</v>
      </c>
      <c r="DX41" s="54">
        <f t="shared" ca="1" si="19"/>
        <v>5.2968249478031471E-2</v>
      </c>
      <c r="DY41" s="54">
        <f t="shared" ca="1" si="19"/>
        <v>5.2968249478031471E-2</v>
      </c>
      <c r="DZ41" s="54">
        <f t="shared" ca="1" si="19"/>
        <v>5.2968249478031471E-2</v>
      </c>
      <c r="EA41" s="54">
        <f t="shared" ref="EA41:EL41" ca="1" si="20">IF((EA40-$D$40)&lt;=30,
$C$36,
IF(AND((EA40-$D$40)&gt;30,(EA40-$D$40)&lt;=40),
$C$36+($C$37-$C$36)*(EA40-$D$40-30)/10,
$C$37))</f>
        <v>5.2968249478031471E-2</v>
      </c>
      <c r="EB41" s="54">
        <f t="shared" ca="1" si="20"/>
        <v>5.2968249478031471E-2</v>
      </c>
      <c r="EC41" s="54">
        <f t="shared" ca="1" si="20"/>
        <v>5.2968249478031471E-2</v>
      </c>
      <c r="ED41" s="54">
        <f t="shared" ca="1" si="20"/>
        <v>5.2968249478031471E-2</v>
      </c>
      <c r="EE41" s="54">
        <f t="shared" ca="1" si="20"/>
        <v>5.2968249478031471E-2</v>
      </c>
      <c r="EF41" s="54">
        <f t="shared" ca="1" si="20"/>
        <v>5.2968249478031471E-2</v>
      </c>
      <c r="EG41" s="54">
        <f t="shared" ca="1" si="20"/>
        <v>5.2968249478031471E-2</v>
      </c>
      <c r="EH41" s="54">
        <f t="shared" ca="1" si="20"/>
        <v>5.2968249478031471E-2</v>
      </c>
      <c r="EI41" s="54">
        <f t="shared" ca="1" si="20"/>
        <v>5.2968249478031471E-2</v>
      </c>
      <c r="EJ41" s="54">
        <f t="shared" ca="1" si="20"/>
        <v>5.2968249478031471E-2</v>
      </c>
      <c r="EK41" s="54">
        <f t="shared" ca="1" si="20"/>
        <v>5.2968249478031471E-2</v>
      </c>
      <c r="EL41" s="54">
        <f t="shared" ca="1" si="20"/>
        <v>5.2968249478031471E-2</v>
      </c>
    </row>
    <row r="42" spans="2:142">
      <c r="B42" s="49" t="s">
        <v>88</v>
      </c>
      <c r="C42" s="54">
        <f ca="1">$C$36</f>
        <v>4.8405894327093163E-2</v>
      </c>
      <c r="D42" s="54">
        <f t="shared" ref="C42:AH42" si="21">$C$36</f>
        <v>4.8405894327093163E-2</v>
      </c>
      <c r="E42" s="54">
        <f t="shared" si="21"/>
        <v>4.8405894327093163E-2</v>
      </c>
      <c r="F42" s="54">
        <f t="shared" si="21"/>
        <v>4.8405894327093163E-2</v>
      </c>
      <c r="G42" s="54">
        <f t="shared" si="21"/>
        <v>4.8405894327093163E-2</v>
      </c>
      <c r="H42" s="54">
        <f t="shared" si="21"/>
        <v>4.8405894327093163E-2</v>
      </c>
      <c r="I42" s="54">
        <f t="shared" si="21"/>
        <v>4.8405894327093163E-2</v>
      </c>
      <c r="J42" s="54">
        <f t="shared" si="21"/>
        <v>4.8405894327093163E-2</v>
      </c>
      <c r="K42" s="54">
        <f t="shared" si="21"/>
        <v>4.8405894327093163E-2</v>
      </c>
      <c r="L42" s="54">
        <f t="shared" si="21"/>
        <v>4.8405894327093163E-2</v>
      </c>
      <c r="M42" s="54">
        <f t="shared" si="21"/>
        <v>4.8405894327093163E-2</v>
      </c>
      <c r="N42" s="54">
        <f t="shared" si="21"/>
        <v>4.8405894327093163E-2</v>
      </c>
      <c r="O42" s="54">
        <f t="shared" si="21"/>
        <v>4.8405894327093163E-2</v>
      </c>
      <c r="P42" s="54">
        <f t="shared" si="21"/>
        <v>4.8405894327093163E-2</v>
      </c>
      <c r="Q42" s="54">
        <f t="shared" si="21"/>
        <v>4.8405894327093163E-2</v>
      </c>
      <c r="R42" s="54">
        <f t="shared" si="21"/>
        <v>4.8405894327093163E-2</v>
      </c>
      <c r="S42" s="54">
        <f t="shared" si="21"/>
        <v>4.8405894327093163E-2</v>
      </c>
      <c r="T42" s="54">
        <f t="shared" si="21"/>
        <v>4.8405894327093163E-2</v>
      </c>
      <c r="U42" s="54">
        <f t="shared" si="21"/>
        <v>4.8405894327093163E-2</v>
      </c>
      <c r="V42" s="54">
        <f t="shared" si="21"/>
        <v>4.8405894327093163E-2</v>
      </c>
      <c r="W42" s="54">
        <f t="shared" si="21"/>
        <v>4.8405894327093163E-2</v>
      </c>
      <c r="X42" s="54">
        <f t="shared" si="21"/>
        <v>4.8405894327093163E-2</v>
      </c>
      <c r="Y42" s="54">
        <f t="shared" si="21"/>
        <v>4.8405894327093163E-2</v>
      </c>
      <c r="Z42" s="54">
        <f t="shared" si="21"/>
        <v>4.8405894327093163E-2</v>
      </c>
      <c r="AA42" s="54">
        <f t="shared" si="21"/>
        <v>4.8405894327093163E-2</v>
      </c>
      <c r="AB42" s="54">
        <f t="shared" si="21"/>
        <v>4.8405894327093163E-2</v>
      </c>
      <c r="AC42" s="54">
        <f t="shared" si="21"/>
        <v>4.8405894327093163E-2</v>
      </c>
      <c r="AD42" s="54">
        <f t="shared" si="21"/>
        <v>4.8405894327093163E-2</v>
      </c>
      <c r="AE42" s="54">
        <f t="shared" si="21"/>
        <v>4.8405894327093163E-2</v>
      </c>
      <c r="AF42" s="54">
        <f t="shared" si="21"/>
        <v>4.8405894327093163E-2</v>
      </c>
      <c r="AG42" s="54">
        <f t="shared" si="21"/>
        <v>4.8405894327093163E-2</v>
      </c>
      <c r="AH42" s="54">
        <f t="shared" si="21"/>
        <v>4.8405894327093163E-2</v>
      </c>
      <c r="AI42" s="54">
        <f t="shared" ref="AI42:BN42" si="22">$C$36</f>
        <v>4.8405894327093163E-2</v>
      </c>
      <c r="AJ42" s="54">
        <f t="shared" si="22"/>
        <v>4.8405894327093163E-2</v>
      </c>
      <c r="AK42" s="54">
        <f t="shared" si="22"/>
        <v>4.8405894327093163E-2</v>
      </c>
      <c r="AL42" s="54">
        <f t="shared" si="22"/>
        <v>4.8405894327093163E-2</v>
      </c>
      <c r="AM42" s="54">
        <f t="shared" si="22"/>
        <v>4.8405894327093163E-2</v>
      </c>
      <c r="AN42" s="54">
        <f t="shared" si="22"/>
        <v>4.8405894327093163E-2</v>
      </c>
      <c r="AO42" s="54">
        <f t="shared" si="22"/>
        <v>4.8405894327093163E-2</v>
      </c>
      <c r="AP42" s="54">
        <f t="shared" si="22"/>
        <v>4.8405894327093163E-2</v>
      </c>
      <c r="AQ42" s="54">
        <f t="shared" si="22"/>
        <v>4.8405894327093163E-2</v>
      </c>
      <c r="AR42" s="54">
        <f t="shared" si="22"/>
        <v>4.8405894327093163E-2</v>
      </c>
      <c r="AS42" s="54">
        <f t="shared" si="22"/>
        <v>4.8405894327093163E-2</v>
      </c>
      <c r="AT42" s="54">
        <f t="shared" si="22"/>
        <v>4.8405894327093163E-2</v>
      </c>
      <c r="AU42" s="54">
        <f t="shared" si="22"/>
        <v>4.8405894327093163E-2</v>
      </c>
      <c r="AV42" s="54">
        <f t="shared" si="22"/>
        <v>4.8405894327093163E-2</v>
      </c>
      <c r="AW42" s="54">
        <f t="shared" si="22"/>
        <v>4.8405894327093163E-2</v>
      </c>
      <c r="AX42" s="54">
        <f t="shared" si="22"/>
        <v>4.8405894327093163E-2</v>
      </c>
      <c r="AY42" s="54">
        <f t="shared" si="22"/>
        <v>4.8405894327093163E-2</v>
      </c>
      <c r="AZ42" s="54">
        <f t="shared" si="22"/>
        <v>4.8405894327093163E-2</v>
      </c>
      <c r="BA42" s="54">
        <f t="shared" si="22"/>
        <v>4.8405894327093163E-2</v>
      </c>
      <c r="BB42" s="54">
        <f t="shared" si="22"/>
        <v>4.8405894327093163E-2</v>
      </c>
      <c r="BC42" s="54">
        <f t="shared" si="22"/>
        <v>4.8405894327093163E-2</v>
      </c>
      <c r="BD42" s="54">
        <f t="shared" si="22"/>
        <v>4.8405894327093163E-2</v>
      </c>
      <c r="BE42" s="54">
        <f t="shared" si="22"/>
        <v>4.8405894327093163E-2</v>
      </c>
      <c r="BF42" s="54">
        <f t="shared" si="22"/>
        <v>4.8405894327093163E-2</v>
      </c>
      <c r="BG42" s="54">
        <f t="shared" si="22"/>
        <v>4.8405894327093163E-2</v>
      </c>
      <c r="BH42" s="54">
        <f t="shared" si="22"/>
        <v>4.8405894327093163E-2</v>
      </c>
      <c r="BI42" s="54">
        <f t="shared" si="22"/>
        <v>4.8405894327093163E-2</v>
      </c>
      <c r="BJ42" s="54">
        <f t="shared" si="22"/>
        <v>4.8405894327093163E-2</v>
      </c>
      <c r="BK42" s="54">
        <f t="shared" si="22"/>
        <v>4.8405894327093163E-2</v>
      </c>
      <c r="BL42" s="54">
        <f t="shared" si="22"/>
        <v>4.8405894327093163E-2</v>
      </c>
      <c r="BM42" s="54">
        <f t="shared" si="22"/>
        <v>4.8405894327093163E-2</v>
      </c>
      <c r="BN42" s="54">
        <f t="shared" si="22"/>
        <v>4.8405894327093163E-2</v>
      </c>
      <c r="BO42" s="54">
        <f t="shared" ref="BO42:CT42" si="23">$C$36</f>
        <v>4.8405894327093163E-2</v>
      </c>
      <c r="BP42" s="54">
        <f t="shared" si="23"/>
        <v>4.8405894327093163E-2</v>
      </c>
      <c r="BQ42" s="54">
        <f t="shared" si="23"/>
        <v>4.8405894327093163E-2</v>
      </c>
      <c r="BR42" s="54">
        <f t="shared" si="23"/>
        <v>4.8405894327093163E-2</v>
      </c>
      <c r="BS42" s="54">
        <f t="shared" si="23"/>
        <v>4.8405894327093163E-2</v>
      </c>
      <c r="BT42" s="54">
        <f t="shared" si="23"/>
        <v>4.8405894327093163E-2</v>
      </c>
      <c r="BU42" s="54">
        <f t="shared" si="23"/>
        <v>4.8405894327093163E-2</v>
      </c>
      <c r="BV42" s="54">
        <f t="shared" si="23"/>
        <v>4.8405894327093163E-2</v>
      </c>
      <c r="BW42" s="54">
        <f t="shared" si="23"/>
        <v>4.8405894327093163E-2</v>
      </c>
      <c r="BX42" s="54">
        <f t="shared" si="23"/>
        <v>4.8405894327093163E-2</v>
      </c>
      <c r="BY42" s="54">
        <f t="shared" si="23"/>
        <v>4.8405894327093163E-2</v>
      </c>
      <c r="BZ42" s="54">
        <f t="shared" si="23"/>
        <v>4.8405894327093163E-2</v>
      </c>
      <c r="CA42" s="54">
        <f t="shared" si="23"/>
        <v>4.8405894327093163E-2</v>
      </c>
      <c r="CB42" s="54">
        <f t="shared" si="23"/>
        <v>4.8405894327093163E-2</v>
      </c>
      <c r="CC42" s="54">
        <f t="shared" si="23"/>
        <v>4.8405894327093163E-2</v>
      </c>
      <c r="CD42" s="54">
        <f t="shared" si="23"/>
        <v>4.8405894327093163E-2</v>
      </c>
      <c r="CE42" s="54">
        <f t="shared" si="23"/>
        <v>4.8405894327093163E-2</v>
      </c>
      <c r="CF42" s="54">
        <f t="shared" si="23"/>
        <v>4.8405894327093163E-2</v>
      </c>
      <c r="CG42" s="54">
        <f t="shared" si="23"/>
        <v>4.8405894327093163E-2</v>
      </c>
      <c r="CH42" s="54">
        <f t="shared" si="23"/>
        <v>4.8405894327093163E-2</v>
      </c>
      <c r="CI42" s="54">
        <f t="shared" si="23"/>
        <v>4.8405894327093163E-2</v>
      </c>
      <c r="CJ42" s="54">
        <f t="shared" si="23"/>
        <v>4.8405894327093163E-2</v>
      </c>
      <c r="CK42" s="54">
        <f t="shared" si="23"/>
        <v>4.8405894327093163E-2</v>
      </c>
      <c r="CL42" s="54">
        <f t="shared" si="23"/>
        <v>4.8405894327093163E-2</v>
      </c>
      <c r="CM42" s="54">
        <f t="shared" si="23"/>
        <v>4.8405894327093163E-2</v>
      </c>
      <c r="CN42" s="54">
        <f t="shared" si="23"/>
        <v>4.8405894327093163E-2</v>
      </c>
      <c r="CO42" s="54">
        <f t="shared" si="23"/>
        <v>4.8405894327093163E-2</v>
      </c>
      <c r="CP42" s="54">
        <f t="shared" si="23"/>
        <v>4.8405894327093163E-2</v>
      </c>
      <c r="CQ42" s="54">
        <f t="shared" si="23"/>
        <v>4.8405894327093163E-2</v>
      </c>
      <c r="CR42" s="54">
        <f t="shared" si="23"/>
        <v>4.8405894327093163E-2</v>
      </c>
      <c r="CS42" s="54">
        <f t="shared" si="23"/>
        <v>4.8405894327093163E-2</v>
      </c>
      <c r="CT42" s="54">
        <f t="shared" si="23"/>
        <v>4.8405894327093163E-2</v>
      </c>
      <c r="CU42" s="54">
        <f t="shared" ref="CU42:DZ42" si="24">$C$36</f>
        <v>4.8405894327093163E-2</v>
      </c>
      <c r="CV42" s="54">
        <f t="shared" si="24"/>
        <v>4.8405894327093163E-2</v>
      </c>
      <c r="CW42" s="54">
        <f t="shared" si="24"/>
        <v>4.8405894327093163E-2</v>
      </c>
      <c r="CX42" s="54">
        <f t="shared" si="24"/>
        <v>4.8405894327093163E-2</v>
      </c>
      <c r="CY42" s="54">
        <f t="shared" si="24"/>
        <v>4.8405894327093163E-2</v>
      </c>
      <c r="CZ42" s="54">
        <f t="shared" si="24"/>
        <v>4.8405894327093163E-2</v>
      </c>
      <c r="DA42" s="54">
        <f t="shared" si="24"/>
        <v>4.8405894327093163E-2</v>
      </c>
      <c r="DB42" s="54">
        <f t="shared" si="24"/>
        <v>4.8405894327093163E-2</v>
      </c>
      <c r="DC42" s="54">
        <f t="shared" si="24"/>
        <v>4.8405894327093163E-2</v>
      </c>
      <c r="DD42" s="54">
        <f t="shared" si="24"/>
        <v>4.8405894327093163E-2</v>
      </c>
      <c r="DE42" s="54">
        <f t="shared" si="24"/>
        <v>4.8405894327093163E-2</v>
      </c>
      <c r="DF42" s="54">
        <f t="shared" si="24"/>
        <v>4.8405894327093163E-2</v>
      </c>
      <c r="DG42" s="54">
        <f t="shared" si="24"/>
        <v>4.8405894327093163E-2</v>
      </c>
      <c r="DH42" s="54">
        <f t="shared" si="24"/>
        <v>4.8405894327093163E-2</v>
      </c>
      <c r="DI42" s="54">
        <f t="shared" si="24"/>
        <v>4.8405894327093163E-2</v>
      </c>
      <c r="DJ42" s="54">
        <f t="shared" si="24"/>
        <v>4.8405894327093163E-2</v>
      </c>
      <c r="DK42" s="54">
        <f t="shared" si="24"/>
        <v>4.8405894327093163E-2</v>
      </c>
      <c r="DL42" s="54">
        <f t="shared" si="24"/>
        <v>4.8405894327093163E-2</v>
      </c>
      <c r="DM42" s="54">
        <f t="shared" si="24"/>
        <v>4.8405894327093163E-2</v>
      </c>
      <c r="DN42" s="54">
        <f t="shared" si="24"/>
        <v>4.8405894327093163E-2</v>
      </c>
      <c r="DO42" s="54">
        <f t="shared" si="24"/>
        <v>4.8405894327093163E-2</v>
      </c>
      <c r="DP42" s="54">
        <f t="shared" si="24"/>
        <v>4.8405894327093163E-2</v>
      </c>
      <c r="DQ42" s="54">
        <f t="shared" si="24"/>
        <v>4.8405894327093163E-2</v>
      </c>
      <c r="DR42" s="54">
        <f t="shared" si="24"/>
        <v>4.8405894327093163E-2</v>
      </c>
      <c r="DS42" s="54">
        <f t="shared" si="24"/>
        <v>4.8405894327093163E-2</v>
      </c>
      <c r="DT42" s="54">
        <f t="shared" si="24"/>
        <v>4.8405894327093163E-2</v>
      </c>
      <c r="DU42" s="54">
        <f t="shared" si="24"/>
        <v>4.8405894327093163E-2</v>
      </c>
      <c r="DV42" s="54">
        <f t="shared" si="24"/>
        <v>4.8405894327093163E-2</v>
      </c>
      <c r="DW42" s="54">
        <f t="shared" si="24"/>
        <v>4.8405894327093163E-2</v>
      </c>
      <c r="DX42" s="54">
        <f t="shared" si="24"/>
        <v>4.8405894327093163E-2</v>
      </c>
      <c r="DY42" s="54">
        <f t="shared" si="24"/>
        <v>4.8405894327093163E-2</v>
      </c>
      <c r="DZ42" s="54">
        <f t="shared" si="24"/>
        <v>4.8405894327093163E-2</v>
      </c>
      <c r="EA42" s="54">
        <f t="shared" ref="EA42:EL42" si="25">$C$36</f>
        <v>4.8405894327093163E-2</v>
      </c>
      <c r="EB42" s="54">
        <f t="shared" si="25"/>
        <v>4.8405894327093163E-2</v>
      </c>
      <c r="EC42" s="54">
        <f t="shared" si="25"/>
        <v>4.8405894327093163E-2</v>
      </c>
      <c r="ED42" s="54">
        <f t="shared" si="25"/>
        <v>4.8405894327093163E-2</v>
      </c>
      <c r="EE42" s="54">
        <f t="shared" si="25"/>
        <v>4.8405894327093163E-2</v>
      </c>
      <c r="EF42" s="54">
        <f t="shared" si="25"/>
        <v>4.8405894327093163E-2</v>
      </c>
      <c r="EG42" s="54">
        <f t="shared" si="25"/>
        <v>4.8405894327093163E-2</v>
      </c>
      <c r="EH42" s="54">
        <f t="shared" si="25"/>
        <v>4.8405894327093163E-2</v>
      </c>
      <c r="EI42" s="54">
        <f t="shared" si="25"/>
        <v>4.8405894327093163E-2</v>
      </c>
      <c r="EJ42" s="54">
        <f t="shared" si="25"/>
        <v>4.8405894327093163E-2</v>
      </c>
      <c r="EK42" s="54">
        <f t="shared" si="25"/>
        <v>4.8405894327093163E-2</v>
      </c>
      <c r="EL42" s="54">
        <f t="shared" si="25"/>
        <v>4.8405894327093163E-2</v>
      </c>
    </row>
    <row r="43" spans="2:142" s="53" customFormat="1">
      <c r="B43" s="52"/>
    </row>
    <row r="44" spans="2:142">
      <c r="B44" s="52" t="s">
        <v>30</v>
      </c>
      <c r="C44" s="19"/>
    </row>
    <row r="45" spans="2:142">
      <c r="B45" s="44" t="s">
        <v>24</v>
      </c>
      <c r="C45" s="44">
        <v>0</v>
      </c>
      <c r="D45" s="43">
        <v>1</v>
      </c>
      <c r="E45" s="43">
        <v>2</v>
      </c>
      <c r="F45" s="43">
        <v>3</v>
      </c>
      <c r="G45" s="43">
        <v>4</v>
      </c>
      <c r="H45" s="43">
        <v>5</v>
      </c>
      <c r="I45" s="43">
        <v>6</v>
      </c>
      <c r="J45" s="43">
        <v>7</v>
      </c>
      <c r="K45" s="43">
        <v>8</v>
      </c>
      <c r="L45" s="43">
        <v>9</v>
      </c>
      <c r="M45" s="43">
        <v>10</v>
      </c>
      <c r="N45" s="43">
        <v>11</v>
      </c>
      <c r="O45" s="43">
        <v>12</v>
      </c>
      <c r="P45" s="43">
        <v>13</v>
      </c>
      <c r="Q45" s="43">
        <v>14</v>
      </c>
      <c r="R45" s="43">
        <v>15</v>
      </c>
      <c r="S45" s="43">
        <v>16</v>
      </c>
      <c r="T45" s="43">
        <v>17</v>
      </c>
      <c r="U45" s="43">
        <v>18</v>
      </c>
      <c r="V45" s="43">
        <v>19</v>
      </c>
      <c r="W45" s="43">
        <v>20</v>
      </c>
      <c r="X45" s="43">
        <v>21</v>
      </c>
      <c r="Y45" s="43">
        <v>22</v>
      </c>
      <c r="Z45" s="43">
        <v>23</v>
      </c>
      <c r="AA45" s="43">
        <v>24</v>
      </c>
      <c r="AB45" s="43">
        <v>25</v>
      </c>
      <c r="AC45" s="43">
        <v>26</v>
      </c>
      <c r="AD45" s="43">
        <v>27</v>
      </c>
      <c r="AE45" s="43">
        <v>28</v>
      </c>
      <c r="AF45" s="43">
        <v>29</v>
      </c>
      <c r="AG45" s="43">
        <v>30</v>
      </c>
      <c r="AH45" s="43">
        <v>31</v>
      </c>
      <c r="AI45" s="43">
        <v>32</v>
      </c>
      <c r="AJ45" s="43">
        <v>33</v>
      </c>
      <c r="AK45" s="43">
        <v>34</v>
      </c>
      <c r="AL45" s="43">
        <v>35</v>
      </c>
      <c r="AM45" s="43">
        <v>36</v>
      </c>
      <c r="AN45" s="43">
        <v>37</v>
      </c>
      <c r="AO45" s="43">
        <v>38</v>
      </c>
      <c r="AP45" s="43">
        <v>39</v>
      </c>
      <c r="AQ45" s="43">
        <v>40</v>
      </c>
      <c r="AR45" s="43">
        <v>41</v>
      </c>
      <c r="AS45" s="43">
        <v>42</v>
      </c>
      <c r="AT45" s="43">
        <v>43</v>
      </c>
      <c r="AU45" s="43">
        <v>44</v>
      </c>
      <c r="AV45" s="43">
        <v>45</v>
      </c>
      <c r="AW45" s="43">
        <v>46</v>
      </c>
      <c r="AX45" s="43">
        <v>47</v>
      </c>
      <c r="AY45" s="43">
        <v>48</v>
      </c>
      <c r="AZ45" s="43">
        <v>49</v>
      </c>
      <c r="BA45" s="43">
        <v>50</v>
      </c>
      <c r="BB45" s="43">
        <v>51</v>
      </c>
      <c r="BC45" s="43">
        <v>52</v>
      </c>
      <c r="BD45" s="43">
        <v>53</v>
      </c>
      <c r="BE45" s="43">
        <v>54</v>
      </c>
      <c r="BF45" s="43">
        <v>55</v>
      </c>
      <c r="BG45" s="43">
        <v>56</v>
      </c>
      <c r="BH45" s="43">
        <v>57</v>
      </c>
      <c r="BI45" s="43">
        <v>58</v>
      </c>
      <c r="BJ45" s="43">
        <v>59</v>
      </c>
      <c r="BK45" s="43">
        <v>60</v>
      </c>
      <c r="BL45" s="43">
        <v>61</v>
      </c>
      <c r="BM45" s="43">
        <v>62</v>
      </c>
      <c r="BN45" s="43">
        <v>63</v>
      </c>
      <c r="BO45" s="43">
        <v>64</v>
      </c>
      <c r="BP45" s="43">
        <v>65</v>
      </c>
      <c r="BQ45" s="43">
        <v>66</v>
      </c>
      <c r="BR45" s="43">
        <v>67</v>
      </c>
      <c r="BS45" s="43">
        <v>68</v>
      </c>
      <c r="BT45" s="43">
        <v>69</v>
      </c>
      <c r="BU45" s="43">
        <v>70</v>
      </c>
      <c r="BV45" s="43">
        <v>71</v>
      </c>
      <c r="BW45" s="43">
        <v>72</v>
      </c>
      <c r="BX45" s="43">
        <v>73</v>
      </c>
      <c r="BY45" s="43">
        <v>74</v>
      </c>
      <c r="BZ45" s="43">
        <v>75</v>
      </c>
      <c r="CA45" s="43">
        <v>76</v>
      </c>
      <c r="CB45" s="43">
        <v>77</v>
      </c>
      <c r="CC45" s="43">
        <v>78</v>
      </c>
      <c r="CD45" s="43">
        <v>79</v>
      </c>
      <c r="CE45" s="43">
        <v>80</v>
      </c>
      <c r="CF45" s="43">
        <v>81</v>
      </c>
      <c r="CG45" s="43">
        <v>82</v>
      </c>
      <c r="CH45" s="43">
        <v>83</v>
      </c>
      <c r="CI45" s="43">
        <v>84</v>
      </c>
      <c r="CJ45" s="43">
        <v>85</v>
      </c>
      <c r="CK45" s="43">
        <v>86</v>
      </c>
      <c r="CL45" s="43">
        <v>87</v>
      </c>
      <c r="CM45" s="43">
        <v>88</v>
      </c>
      <c r="CN45" s="43">
        <v>89</v>
      </c>
      <c r="CO45" s="43">
        <v>90</v>
      </c>
      <c r="CP45" s="43">
        <v>91</v>
      </c>
      <c r="CQ45" s="43">
        <v>92</v>
      </c>
      <c r="CR45" s="43">
        <v>93</v>
      </c>
      <c r="CS45" s="43">
        <v>94</v>
      </c>
      <c r="CT45" s="43">
        <v>95</v>
      </c>
      <c r="CU45" s="43">
        <v>96</v>
      </c>
      <c r="CV45" s="43">
        <v>97</v>
      </c>
      <c r="CW45" s="43">
        <v>98</v>
      </c>
      <c r="CX45" s="43">
        <v>99</v>
      </c>
      <c r="CY45" s="43">
        <v>100</v>
      </c>
      <c r="CZ45" s="43">
        <v>101</v>
      </c>
      <c r="DA45" s="43">
        <v>102</v>
      </c>
      <c r="DB45" s="43">
        <v>103</v>
      </c>
      <c r="DC45" s="43">
        <v>104</v>
      </c>
      <c r="DD45" s="43">
        <v>105</v>
      </c>
      <c r="DE45" s="43">
        <v>106</v>
      </c>
      <c r="DF45" s="43">
        <v>107</v>
      </c>
      <c r="DG45" s="43">
        <v>108</v>
      </c>
      <c r="DH45" s="43">
        <v>109</v>
      </c>
      <c r="DI45" s="43">
        <v>110</v>
      </c>
      <c r="DJ45" s="43">
        <v>111</v>
      </c>
      <c r="DK45" s="43">
        <v>112</v>
      </c>
      <c r="DL45" s="43">
        <v>113</v>
      </c>
      <c r="DM45" s="43">
        <v>114</v>
      </c>
      <c r="DN45" s="43">
        <v>115</v>
      </c>
      <c r="DO45" s="43">
        <v>116</v>
      </c>
      <c r="DP45" s="43">
        <v>117</v>
      </c>
      <c r="DQ45" s="43">
        <v>118</v>
      </c>
      <c r="DR45" s="43">
        <v>119</v>
      </c>
      <c r="DS45" s="43">
        <v>120</v>
      </c>
      <c r="DT45" s="43">
        <v>121</v>
      </c>
      <c r="DU45" s="43">
        <v>122</v>
      </c>
      <c r="DV45" s="43">
        <v>123</v>
      </c>
      <c r="DW45" s="43">
        <v>124</v>
      </c>
      <c r="DX45" s="43">
        <v>125</v>
      </c>
      <c r="DY45" s="43">
        <v>126</v>
      </c>
      <c r="DZ45" s="43">
        <v>127</v>
      </c>
      <c r="EA45" s="43">
        <v>128</v>
      </c>
      <c r="EB45" s="43">
        <v>129</v>
      </c>
      <c r="EC45" s="43">
        <v>130</v>
      </c>
      <c r="ED45" s="43">
        <v>131</v>
      </c>
      <c r="EE45" s="43">
        <v>132</v>
      </c>
      <c r="EF45" s="43">
        <v>133</v>
      </c>
      <c r="EG45" s="43">
        <v>134</v>
      </c>
      <c r="EH45" s="43">
        <v>135</v>
      </c>
      <c r="EI45" s="43">
        <v>136</v>
      </c>
      <c r="EJ45" s="43">
        <v>137</v>
      </c>
      <c r="EK45" s="43">
        <v>138</v>
      </c>
      <c r="EL45" s="43">
        <v>139</v>
      </c>
    </row>
    <row r="46" spans="2:142" ht="15.75" customHeight="1">
      <c r="B46" s="49" t="s">
        <v>86</v>
      </c>
      <c r="C46" s="50">
        <f ca="1">INDEX(C$41:C$42,MATCH(OtherAssump!$C$11,$B$41:$B$42,0))</f>
        <v>4.8405894327093163E-2</v>
      </c>
      <c r="D46" s="50">
        <f ca="1">INDEX(D$41:D$42,MATCH(OtherAssump!$C$11,$B$41:$B$42,0))</f>
        <v>4.8405894327093163E-2</v>
      </c>
      <c r="E46" s="50">
        <f ca="1">INDEX(E$41:E$42,MATCH(OtherAssump!$C$11,$B$41:$B$42,0))</f>
        <v>4.8405894327093163E-2</v>
      </c>
      <c r="F46" s="50">
        <f ca="1">INDEX(F$41:F$42,MATCH(OtherAssump!$C$11,$B$41:$B$42,0))</f>
        <v>4.8405894327093163E-2</v>
      </c>
      <c r="G46" s="50">
        <f ca="1">INDEX(G$41:G$42,MATCH(OtherAssump!$C$11,$B$41:$B$42,0))</f>
        <v>4.8405894327093163E-2</v>
      </c>
      <c r="H46" s="50">
        <f ca="1">INDEX(H$41:H$42,MATCH(OtherAssump!$C$11,$B$41:$B$42,0))</f>
        <v>4.8405894327093163E-2</v>
      </c>
      <c r="I46" s="50">
        <f ca="1">INDEX(I$41:I$42,MATCH(OtherAssump!$C$11,$B$41:$B$42,0))</f>
        <v>4.8405894327093163E-2</v>
      </c>
      <c r="J46" s="50">
        <f ca="1">INDEX(J$41:J$42,MATCH(OtherAssump!$C$11,$B$41:$B$42,0))</f>
        <v>4.8405894327093163E-2</v>
      </c>
      <c r="K46" s="50">
        <f ca="1">INDEX(K$41:K$42,MATCH(OtherAssump!$C$11,$B$41:$B$42,0))</f>
        <v>4.8405894327093163E-2</v>
      </c>
      <c r="L46" s="50">
        <f ca="1">INDEX(L$41:L$42,MATCH(OtherAssump!$C$11,$B$41:$B$42,0))</f>
        <v>4.8405894327093163E-2</v>
      </c>
      <c r="M46" s="50">
        <f ca="1">INDEX(M$41:M$42,MATCH(OtherAssump!$C$11,$B$41:$B$42,0))</f>
        <v>4.8405894327093163E-2</v>
      </c>
      <c r="N46" s="50">
        <f ca="1">INDEX(N$41:N$42,MATCH(OtherAssump!$C$11,$B$41:$B$42,0))</f>
        <v>4.8405894327093163E-2</v>
      </c>
      <c r="O46" s="50">
        <f ca="1">INDEX(O$41:O$42,MATCH(OtherAssump!$C$11,$B$41:$B$42,0))</f>
        <v>4.8405894327093163E-2</v>
      </c>
      <c r="P46" s="50">
        <f ca="1">INDEX(P$41:P$42,MATCH(OtherAssump!$C$11,$B$41:$B$42,0))</f>
        <v>4.8405894327093163E-2</v>
      </c>
      <c r="Q46" s="50">
        <f ca="1">INDEX(Q$41:Q$42,MATCH(OtherAssump!$C$11,$B$41:$B$42,0))</f>
        <v>4.8405894327093163E-2</v>
      </c>
      <c r="R46" s="50">
        <f ca="1">INDEX(R$41:R$42,MATCH(OtherAssump!$C$11,$B$41:$B$42,0))</f>
        <v>4.8405894327093163E-2</v>
      </c>
      <c r="S46" s="50">
        <f ca="1">INDEX(S$41:S$42,MATCH(OtherAssump!$C$11,$B$41:$B$42,0))</f>
        <v>4.8405894327093163E-2</v>
      </c>
      <c r="T46" s="50">
        <f ca="1">INDEX(T$41:T$42,MATCH(OtherAssump!$C$11,$B$41:$B$42,0))</f>
        <v>4.8405894327093163E-2</v>
      </c>
      <c r="U46" s="50">
        <f ca="1">INDEX(U$41:U$42,MATCH(OtherAssump!$C$11,$B$41:$B$42,0))</f>
        <v>4.8405894327093163E-2</v>
      </c>
      <c r="V46" s="50">
        <f ca="1">INDEX(V$41:V$42,MATCH(OtherAssump!$C$11,$B$41:$B$42,0))</f>
        <v>4.8405894327093163E-2</v>
      </c>
      <c r="W46" s="50">
        <f ca="1">INDEX(W$41:W$42,MATCH(OtherAssump!$C$11,$B$41:$B$42,0))</f>
        <v>4.8405894327093163E-2</v>
      </c>
      <c r="X46" s="50">
        <f ca="1">INDEX(X$41:X$42,MATCH(OtherAssump!$C$11,$B$41:$B$42,0))</f>
        <v>4.8405894327093163E-2</v>
      </c>
      <c r="Y46" s="50">
        <f ca="1">INDEX(Y$41:Y$42,MATCH(OtherAssump!$C$11,$B$41:$B$42,0))</f>
        <v>4.8405894327093163E-2</v>
      </c>
      <c r="Z46" s="50">
        <f ca="1">INDEX(Z$41:Z$42,MATCH(OtherAssump!$C$11,$B$41:$B$42,0))</f>
        <v>4.8405894327093163E-2</v>
      </c>
      <c r="AA46" s="50">
        <f ca="1">INDEX(AA$41:AA$42,MATCH(OtherAssump!$C$11,$B$41:$B$42,0))</f>
        <v>4.8405894327093163E-2</v>
      </c>
      <c r="AB46" s="50">
        <f ca="1">INDEX(AB$41:AB$42,MATCH(OtherAssump!$C$11,$B$41:$B$42,0))</f>
        <v>4.8405894327093163E-2</v>
      </c>
      <c r="AC46" s="50">
        <f ca="1">INDEX(AC$41:AC$42,MATCH(OtherAssump!$C$11,$B$41:$B$42,0))</f>
        <v>4.8405894327093163E-2</v>
      </c>
      <c r="AD46" s="50">
        <f ca="1">INDEX(AD$41:AD$42,MATCH(OtherAssump!$C$11,$B$41:$B$42,0))</f>
        <v>4.8405894327093163E-2</v>
      </c>
      <c r="AE46" s="50">
        <f ca="1">INDEX(AE$41:AE$42,MATCH(OtherAssump!$C$11,$B$41:$B$42,0))</f>
        <v>4.8405894327093163E-2</v>
      </c>
      <c r="AF46" s="50">
        <f ca="1">INDEX(AF$41:AF$42,MATCH(OtherAssump!$C$11,$B$41:$B$42,0))</f>
        <v>4.8405894327093163E-2</v>
      </c>
      <c r="AG46" s="50">
        <f ca="1">INDEX(AG$41:AG$42,MATCH(OtherAssump!$C$11,$B$41:$B$42,0))</f>
        <v>4.8405894327093163E-2</v>
      </c>
      <c r="AH46" s="50">
        <f ca="1">INDEX(AH$41:AH$42,MATCH(OtherAssump!$C$11,$B$41:$B$42,0))</f>
        <v>4.8405894327093163E-2</v>
      </c>
      <c r="AI46" s="50">
        <f ca="1">INDEX(AI$41:AI$42,MATCH(OtherAssump!$C$11,$B$41:$B$42,0))</f>
        <v>4.8862129842186991E-2</v>
      </c>
      <c r="AJ46" s="50">
        <f ca="1">INDEX(AJ$41:AJ$42,MATCH(OtherAssump!$C$11,$B$41:$B$42,0))</f>
        <v>4.9318365357280826E-2</v>
      </c>
      <c r="AK46" s="50">
        <f ca="1">INDEX(AK$41:AK$42,MATCH(OtherAssump!$C$11,$B$41:$B$42,0))</f>
        <v>4.9774600872374654E-2</v>
      </c>
      <c r="AL46" s="50">
        <f ca="1">INDEX(AL$41:AL$42,MATCH(OtherAssump!$C$11,$B$41:$B$42,0))</f>
        <v>5.0230836387468489E-2</v>
      </c>
      <c r="AM46" s="50">
        <f ca="1">INDEX(AM$41:AM$42,MATCH(OtherAssump!$C$11,$B$41:$B$42,0))</f>
        <v>5.0687071902562317E-2</v>
      </c>
      <c r="AN46" s="50">
        <f ca="1">INDEX(AN$41:AN$42,MATCH(OtherAssump!$C$11,$B$41:$B$42,0))</f>
        <v>5.1143307417656145E-2</v>
      </c>
      <c r="AO46" s="50">
        <f ca="1">INDEX(AO$41:AO$42,MATCH(OtherAssump!$C$11,$B$41:$B$42,0))</f>
        <v>5.159954293274998E-2</v>
      </c>
      <c r="AP46" s="50">
        <f ca="1">INDEX(AP$41:AP$42,MATCH(OtherAssump!$C$11,$B$41:$B$42,0))</f>
        <v>5.2055778447843808E-2</v>
      </c>
      <c r="AQ46" s="50">
        <f ca="1">INDEX(AQ$41:AQ$42,MATCH(OtherAssump!$C$11,$B$41:$B$42,0))</f>
        <v>5.2512013962937643E-2</v>
      </c>
      <c r="AR46" s="50">
        <f ca="1">INDEX(AR$41:AR$42,MATCH(OtherAssump!$C$11,$B$41:$B$42,0))</f>
        <v>5.2968249478031471E-2</v>
      </c>
      <c r="AS46" s="50">
        <f ca="1">INDEX(AS$41:AS$42,MATCH(OtherAssump!$C$11,$B$41:$B$42,0))</f>
        <v>5.2968249478031471E-2</v>
      </c>
      <c r="AT46" s="50">
        <f ca="1">INDEX(AT$41:AT$42,MATCH(OtherAssump!$C$11,$B$41:$B$42,0))</f>
        <v>5.2968249478031471E-2</v>
      </c>
      <c r="AU46" s="50">
        <f ca="1">INDEX(AU$41:AU$42,MATCH(OtherAssump!$C$11,$B$41:$B$42,0))</f>
        <v>5.2968249478031471E-2</v>
      </c>
      <c r="AV46" s="50">
        <f ca="1">INDEX(AV$41:AV$42,MATCH(OtherAssump!$C$11,$B$41:$B$42,0))</f>
        <v>5.2968249478031471E-2</v>
      </c>
      <c r="AW46" s="50">
        <f ca="1">INDEX(AW$41:AW$42,MATCH(OtherAssump!$C$11,$B$41:$B$42,0))</f>
        <v>5.2968249478031471E-2</v>
      </c>
      <c r="AX46" s="50">
        <f ca="1">INDEX(AX$41:AX$42,MATCH(OtherAssump!$C$11,$B$41:$B$42,0))</f>
        <v>5.2968249478031471E-2</v>
      </c>
      <c r="AY46" s="50">
        <f ca="1">INDEX(AY$41:AY$42,MATCH(OtherAssump!$C$11,$B$41:$B$42,0))</f>
        <v>5.2968249478031471E-2</v>
      </c>
      <c r="AZ46" s="50">
        <f ca="1">INDEX(AZ$41:AZ$42,MATCH(OtherAssump!$C$11,$B$41:$B$42,0))</f>
        <v>5.2968249478031471E-2</v>
      </c>
      <c r="BA46" s="50">
        <f ca="1">INDEX(BA$41:BA$42,MATCH(OtherAssump!$C$11,$B$41:$B$42,0))</f>
        <v>5.2968249478031471E-2</v>
      </c>
      <c r="BB46" s="50">
        <f ca="1">INDEX(BB$41:BB$42,MATCH(OtherAssump!$C$11,$B$41:$B$42,0))</f>
        <v>5.2968249478031471E-2</v>
      </c>
      <c r="BC46" s="50">
        <f ca="1">INDEX(BC$41:BC$42,MATCH(OtherAssump!$C$11,$B$41:$B$42,0))</f>
        <v>5.2968249478031471E-2</v>
      </c>
      <c r="BD46" s="50">
        <f ca="1">INDEX(BD$41:BD$42,MATCH(OtherAssump!$C$11,$B$41:$B$42,0))</f>
        <v>5.2968249478031471E-2</v>
      </c>
      <c r="BE46" s="50">
        <f ca="1">INDEX(BE$41:BE$42,MATCH(OtherAssump!$C$11,$B$41:$B$42,0))</f>
        <v>5.2968249478031471E-2</v>
      </c>
      <c r="BF46" s="50">
        <f ca="1">INDEX(BF$41:BF$42,MATCH(OtherAssump!$C$11,$B$41:$B$42,0))</f>
        <v>5.2968249478031471E-2</v>
      </c>
      <c r="BG46" s="50">
        <f ca="1">INDEX(BG$41:BG$42,MATCH(OtherAssump!$C$11,$B$41:$B$42,0))</f>
        <v>5.2968249478031471E-2</v>
      </c>
      <c r="BH46" s="50">
        <f ca="1">INDEX(BH$41:BH$42,MATCH(OtherAssump!$C$11,$B$41:$B$42,0))</f>
        <v>5.2968249478031471E-2</v>
      </c>
      <c r="BI46" s="50">
        <f ca="1">INDEX(BI$41:BI$42,MATCH(OtherAssump!$C$11,$B$41:$B$42,0))</f>
        <v>5.2968249478031471E-2</v>
      </c>
      <c r="BJ46" s="50">
        <f ca="1">INDEX(BJ$41:BJ$42,MATCH(OtherAssump!$C$11,$B$41:$B$42,0))</f>
        <v>5.2968249478031471E-2</v>
      </c>
      <c r="BK46" s="50">
        <f ca="1">INDEX(BK$41:BK$42,MATCH(OtherAssump!$C$11,$B$41:$B$42,0))</f>
        <v>5.2968249478031471E-2</v>
      </c>
      <c r="BL46" s="50">
        <f ca="1">INDEX(BL$41:BL$42,MATCH(OtherAssump!$C$11,$B$41:$B$42,0))</f>
        <v>5.2968249478031471E-2</v>
      </c>
      <c r="BM46" s="50">
        <f ca="1">INDEX(BM$41:BM$42,MATCH(OtherAssump!$C$11,$B$41:$B$42,0))</f>
        <v>5.2968249478031471E-2</v>
      </c>
      <c r="BN46" s="50">
        <f ca="1">INDEX(BN$41:BN$42,MATCH(OtherAssump!$C$11,$B$41:$B$42,0))</f>
        <v>5.2968249478031471E-2</v>
      </c>
      <c r="BO46" s="50">
        <f ca="1">INDEX(BO$41:BO$42,MATCH(OtherAssump!$C$11,$B$41:$B$42,0))</f>
        <v>5.2968249478031471E-2</v>
      </c>
      <c r="BP46" s="50">
        <f ca="1">INDEX(BP$41:BP$42,MATCH(OtherAssump!$C$11,$B$41:$B$42,0))</f>
        <v>5.2968249478031471E-2</v>
      </c>
      <c r="BQ46" s="50">
        <f ca="1">INDEX(BQ$41:BQ$42,MATCH(OtherAssump!$C$11,$B$41:$B$42,0))</f>
        <v>5.2968249478031471E-2</v>
      </c>
      <c r="BR46" s="50">
        <f ca="1">INDEX(BR$41:BR$42,MATCH(OtherAssump!$C$11,$B$41:$B$42,0))</f>
        <v>5.2968249478031471E-2</v>
      </c>
      <c r="BS46" s="50">
        <f ca="1">INDEX(BS$41:BS$42,MATCH(OtherAssump!$C$11,$B$41:$B$42,0))</f>
        <v>5.2968249478031471E-2</v>
      </c>
      <c r="BT46" s="50">
        <f ca="1">INDEX(BT$41:BT$42,MATCH(OtherAssump!$C$11,$B$41:$B$42,0))</f>
        <v>5.2968249478031471E-2</v>
      </c>
      <c r="BU46" s="50">
        <f ca="1">INDEX(BU$41:BU$42,MATCH(OtherAssump!$C$11,$B$41:$B$42,0))</f>
        <v>5.2968249478031471E-2</v>
      </c>
      <c r="BV46" s="50">
        <f ca="1">INDEX(BV$41:BV$42,MATCH(OtherAssump!$C$11,$B$41:$B$42,0))</f>
        <v>5.2968249478031471E-2</v>
      </c>
      <c r="BW46" s="50">
        <f ca="1">INDEX(BW$41:BW$42,MATCH(OtherAssump!$C$11,$B$41:$B$42,0))</f>
        <v>5.2968249478031471E-2</v>
      </c>
      <c r="BX46" s="50">
        <f ca="1">INDEX(BX$41:BX$42,MATCH(OtherAssump!$C$11,$B$41:$B$42,0))</f>
        <v>5.2968249478031471E-2</v>
      </c>
      <c r="BY46" s="50">
        <f ca="1">INDEX(BY$41:BY$42,MATCH(OtherAssump!$C$11,$B$41:$B$42,0))</f>
        <v>5.2968249478031471E-2</v>
      </c>
      <c r="BZ46" s="50">
        <f ca="1">INDEX(BZ$41:BZ$42,MATCH(OtherAssump!$C$11,$B$41:$B$42,0))</f>
        <v>5.2968249478031471E-2</v>
      </c>
      <c r="CA46" s="50">
        <f ca="1">INDEX(CA$41:CA$42,MATCH(OtherAssump!$C$11,$B$41:$B$42,0))</f>
        <v>5.2968249478031471E-2</v>
      </c>
      <c r="CB46" s="50">
        <f ca="1">INDEX(CB$41:CB$42,MATCH(OtherAssump!$C$11,$B$41:$B$42,0))</f>
        <v>5.2968249478031471E-2</v>
      </c>
      <c r="CC46" s="50">
        <f ca="1">INDEX(CC$41:CC$42,MATCH(OtherAssump!$C$11,$B$41:$B$42,0))</f>
        <v>5.2968249478031471E-2</v>
      </c>
      <c r="CD46" s="50">
        <f ca="1">INDEX(CD$41:CD$42,MATCH(OtherAssump!$C$11,$B$41:$B$42,0))</f>
        <v>5.2968249478031471E-2</v>
      </c>
      <c r="CE46" s="50">
        <f ca="1">INDEX(CE$41:CE$42,MATCH(OtherAssump!$C$11,$B$41:$B$42,0))</f>
        <v>5.2968249478031471E-2</v>
      </c>
      <c r="CF46" s="50">
        <f ca="1">INDEX(CF$41:CF$42,MATCH(OtherAssump!$C$11,$B$41:$B$42,0))</f>
        <v>5.2968249478031471E-2</v>
      </c>
      <c r="CG46" s="50">
        <f ca="1">INDEX(CG$41:CG$42,MATCH(OtherAssump!$C$11,$B$41:$B$42,0))</f>
        <v>5.2968249478031471E-2</v>
      </c>
      <c r="CH46" s="50">
        <f ca="1">INDEX(CH$41:CH$42,MATCH(OtherAssump!$C$11,$B$41:$B$42,0))</f>
        <v>5.2968249478031471E-2</v>
      </c>
      <c r="CI46" s="50">
        <f ca="1">INDEX(CI$41:CI$42,MATCH(OtherAssump!$C$11,$B$41:$B$42,0))</f>
        <v>5.2968249478031471E-2</v>
      </c>
      <c r="CJ46" s="50">
        <f ca="1">INDEX(CJ$41:CJ$42,MATCH(OtherAssump!$C$11,$B$41:$B$42,0))</f>
        <v>5.2968249478031471E-2</v>
      </c>
      <c r="CK46" s="50">
        <f ca="1">INDEX(CK$41:CK$42,MATCH(OtherAssump!$C$11,$B$41:$B$42,0))</f>
        <v>5.2968249478031471E-2</v>
      </c>
      <c r="CL46" s="50">
        <f ca="1">INDEX(CL$41:CL$42,MATCH(OtherAssump!$C$11,$B$41:$B$42,0))</f>
        <v>5.2968249478031471E-2</v>
      </c>
      <c r="CM46" s="50">
        <f ca="1">INDEX(CM$41:CM$42,MATCH(OtherAssump!$C$11,$B$41:$B$42,0))</f>
        <v>5.2968249478031471E-2</v>
      </c>
      <c r="CN46" s="50">
        <f ca="1">INDEX(CN$41:CN$42,MATCH(OtherAssump!$C$11,$B$41:$B$42,0))</f>
        <v>5.2968249478031471E-2</v>
      </c>
      <c r="CO46" s="50">
        <f ca="1">INDEX(CO$41:CO$42,MATCH(OtherAssump!$C$11,$B$41:$B$42,0))</f>
        <v>5.2968249478031471E-2</v>
      </c>
      <c r="CP46" s="50">
        <f ca="1">INDEX(CP$41:CP$42,MATCH(OtherAssump!$C$11,$B$41:$B$42,0))</f>
        <v>5.2968249478031471E-2</v>
      </c>
      <c r="CQ46" s="50">
        <f ca="1">INDEX(CQ$41:CQ$42,MATCH(OtherAssump!$C$11,$B$41:$B$42,0))</f>
        <v>5.2968249478031471E-2</v>
      </c>
      <c r="CR46" s="50">
        <f ca="1">INDEX(CR$41:CR$42,MATCH(OtherAssump!$C$11,$B$41:$B$42,0))</f>
        <v>5.2968249478031471E-2</v>
      </c>
      <c r="CS46" s="50">
        <f ca="1">INDEX(CS$41:CS$42,MATCH(OtherAssump!$C$11,$B$41:$B$42,0))</f>
        <v>5.2968249478031471E-2</v>
      </c>
      <c r="CT46" s="50">
        <f ca="1">INDEX(CT$41:CT$42,MATCH(OtherAssump!$C$11,$B$41:$B$42,0))</f>
        <v>5.2968249478031471E-2</v>
      </c>
      <c r="CU46" s="50">
        <f ca="1">INDEX(CU$41:CU$42,MATCH(OtherAssump!$C$11,$B$41:$B$42,0))</f>
        <v>5.2968249478031471E-2</v>
      </c>
      <c r="CV46" s="50">
        <f ca="1">INDEX(CV$41:CV$42,MATCH(OtherAssump!$C$11,$B$41:$B$42,0))</f>
        <v>5.2968249478031471E-2</v>
      </c>
      <c r="CW46" s="50">
        <f ca="1">INDEX(CW$41:CW$42,MATCH(OtherAssump!$C$11,$B$41:$B$42,0))</f>
        <v>5.2968249478031471E-2</v>
      </c>
      <c r="CX46" s="50">
        <f ca="1">INDEX(CX$41:CX$42,MATCH(OtherAssump!$C$11,$B$41:$B$42,0))</f>
        <v>5.2968249478031471E-2</v>
      </c>
      <c r="CY46" s="50">
        <f ca="1">INDEX(CY$41:CY$42,MATCH(OtherAssump!$C$11,$B$41:$B$42,0))</f>
        <v>5.2968249478031471E-2</v>
      </c>
      <c r="CZ46" s="50">
        <f ca="1">INDEX(CZ$41:CZ$42,MATCH(OtherAssump!$C$11,$B$41:$B$42,0))</f>
        <v>5.2968249478031471E-2</v>
      </c>
      <c r="DA46" s="50">
        <f ca="1">INDEX(DA$41:DA$42,MATCH(OtherAssump!$C$11,$B$41:$B$42,0))</f>
        <v>5.2968249478031471E-2</v>
      </c>
      <c r="DB46" s="50">
        <f ca="1">INDEX(DB$41:DB$42,MATCH(OtherAssump!$C$11,$B$41:$B$42,0))</f>
        <v>5.2968249478031471E-2</v>
      </c>
      <c r="DC46" s="50">
        <f ca="1">INDEX(DC$41:DC$42,MATCH(OtherAssump!$C$11,$B$41:$B$42,0))</f>
        <v>5.2968249478031471E-2</v>
      </c>
      <c r="DD46" s="50">
        <f ca="1">INDEX(DD$41:DD$42,MATCH(OtherAssump!$C$11,$B$41:$B$42,0))</f>
        <v>5.2968249478031471E-2</v>
      </c>
      <c r="DE46" s="50">
        <f ca="1">INDEX(DE$41:DE$42,MATCH(OtherAssump!$C$11,$B$41:$B$42,0))</f>
        <v>5.2968249478031471E-2</v>
      </c>
      <c r="DF46" s="50">
        <f ca="1">INDEX(DF$41:DF$42,MATCH(OtherAssump!$C$11,$B$41:$B$42,0))</f>
        <v>5.2968249478031471E-2</v>
      </c>
      <c r="DG46" s="50">
        <f ca="1">INDEX(DG$41:DG$42,MATCH(OtherAssump!$C$11,$B$41:$B$42,0))</f>
        <v>5.2968249478031471E-2</v>
      </c>
      <c r="DH46" s="50">
        <f ca="1">INDEX(DH$41:DH$42,MATCH(OtherAssump!$C$11,$B$41:$B$42,0))</f>
        <v>5.2968249478031471E-2</v>
      </c>
      <c r="DI46" s="50">
        <f ca="1">INDEX(DI$41:DI$42,MATCH(OtherAssump!$C$11,$B$41:$B$42,0))</f>
        <v>5.2968249478031471E-2</v>
      </c>
      <c r="DJ46" s="50">
        <f ca="1">INDEX(DJ$41:DJ$42,MATCH(OtherAssump!$C$11,$B$41:$B$42,0))</f>
        <v>5.2968249478031471E-2</v>
      </c>
      <c r="DK46" s="50">
        <f ca="1">INDEX(DK$41:DK$42,MATCH(OtherAssump!$C$11,$B$41:$B$42,0))</f>
        <v>5.2968249478031471E-2</v>
      </c>
      <c r="DL46" s="50">
        <f ca="1">INDEX(DL$41:DL$42,MATCH(OtherAssump!$C$11,$B$41:$B$42,0))</f>
        <v>5.2968249478031471E-2</v>
      </c>
      <c r="DM46" s="50">
        <f ca="1">INDEX(DM$41:DM$42,MATCH(OtherAssump!$C$11,$B$41:$B$42,0))</f>
        <v>5.2968249478031471E-2</v>
      </c>
      <c r="DN46" s="50">
        <f ca="1">INDEX(DN$41:DN$42,MATCH(OtherAssump!$C$11,$B$41:$B$42,0))</f>
        <v>5.2968249478031471E-2</v>
      </c>
      <c r="DO46" s="50">
        <f ca="1">INDEX(DO$41:DO$42,MATCH(OtherAssump!$C$11,$B$41:$B$42,0))</f>
        <v>5.2968249478031471E-2</v>
      </c>
      <c r="DP46" s="50">
        <f ca="1">INDEX(DP$41:DP$42,MATCH(OtherAssump!$C$11,$B$41:$B$42,0))</f>
        <v>5.2968249478031471E-2</v>
      </c>
      <c r="DQ46" s="50">
        <f ca="1">INDEX(DQ$41:DQ$42,MATCH(OtherAssump!$C$11,$B$41:$B$42,0))</f>
        <v>5.2968249478031471E-2</v>
      </c>
      <c r="DR46" s="50">
        <f ca="1">INDEX(DR$41:DR$42,MATCH(OtherAssump!$C$11,$B$41:$B$42,0))</f>
        <v>5.2968249478031471E-2</v>
      </c>
      <c r="DS46" s="50">
        <f ca="1">INDEX(DS$41:DS$42,MATCH(OtherAssump!$C$11,$B$41:$B$42,0))</f>
        <v>5.2968249478031471E-2</v>
      </c>
      <c r="DT46" s="50">
        <f ca="1">INDEX(DT$41:DT$42,MATCH(OtherAssump!$C$11,$B$41:$B$42,0))</f>
        <v>5.2968249478031471E-2</v>
      </c>
      <c r="DU46" s="50">
        <f ca="1">INDEX(DU$41:DU$42,MATCH(OtherAssump!$C$11,$B$41:$B$42,0))</f>
        <v>5.2968249478031471E-2</v>
      </c>
      <c r="DV46" s="50">
        <f ca="1">INDEX(DV$41:DV$42,MATCH(OtherAssump!$C$11,$B$41:$B$42,0))</f>
        <v>5.2968249478031471E-2</v>
      </c>
      <c r="DW46" s="50">
        <f ca="1">INDEX(DW$41:DW$42,MATCH(OtherAssump!$C$11,$B$41:$B$42,0))</f>
        <v>5.2968249478031471E-2</v>
      </c>
      <c r="DX46" s="50">
        <f ca="1">INDEX(DX$41:DX$42,MATCH(OtherAssump!$C$11,$B$41:$B$42,0))</f>
        <v>5.2968249478031471E-2</v>
      </c>
      <c r="DY46" s="50">
        <f ca="1">INDEX(DY$41:DY$42,MATCH(OtherAssump!$C$11,$B$41:$B$42,0))</f>
        <v>5.2968249478031471E-2</v>
      </c>
      <c r="DZ46" s="50">
        <f ca="1">INDEX(DZ$41:DZ$42,MATCH(OtherAssump!$C$11,$B$41:$B$42,0))</f>
        <v>5.2968249478031471E-2</v>
      </c>
      <c r="EA46" s="50">
        <f ca="1">INDEX(EA$41:EA$42,MATCH(OtherAssump!$C$11,$B$41:$B$42,0))</f>
        <v>5.2968249478031471E-2</v>
      </c>
      <c r="EB46" s="50">
        <f ca="1">INDEX(EB$41:EB$42,MATCH(OtherAssump!$C$11,$B$41:$B$42,0))</f>
        <v>5.2968249478031471E-2</v>
      </c>
      <c r="EC46" s="50">
        <f ca="1">INDEX(EC$41:EC$42,MATCH(OtherAssump!$C$11,$B$41:$B$42,0))</f>
        <v>5.2968249478031471E-2</v>
      </c>
      <c r="ED46" s="50">
        <f ca="1">INDEX(ED$41:ED$42,MATCH(OtherAssump!$C$11,$B$41:$B$42,0))</f>
        <v>5.2968249478031471E-2</v>
      </c>
      <c r="EE46" s="50">
        <f ca="1">INDEX(EE$41:EE$42,MATCH(OtherAssump!$C$11,$B$41:$B$42,0))</f>
        <v>5.2968249478031471E-2</v>
      </c>
      <c r="EF46" s="50">
        <f ca="1">INDEX(EF$41:EF$42,MATCH(OtherAssump!$C$11,$B$41:$B$42,0))</f>
        <v>5.2968249478031471E-2</v>
      </c>
      <c r="EG46" s="50">
        <f ca="1">INDEX(EG$41:EG$42,MATCH(OtherAssump!$C$11,$B$41:$B$42,0))</f>
        <v>5.2968249478031471E-2</v>
      </c>
      <c r="EH46" s="50">
        <f ca="1">INDEX(EH$41:EH$42,MATCH(OtherAssump!$C$11,$B$41:$B$42,0))</f>
        <v>5.2968249478031471E-2</v>
      </c>
      <c r="EI46" s="50">
        <f ca="1">INDEX(EI$41:EI$42,MATCH(OtherAssump!$C$11,$B$41:$B$42,0))</f>
        <v>5.2968249478031471E-2</v>
      </c>
      <c r="EJ46" s="50">
        <f ca="1">INDEX(EJ$41:EJ$42,MATCH(OtherAssump!$C$11,$B$41:$B$42,0))</f>
        <v>5.2968249478031471E-2</v>
      </c>
      <c r="EK46" s="50">
        <f ca="1">INDEX(EK$41:EK$42,MATCH(OtherAssump!$C$11,$B$41:$B$42,0))</f>
        <v>5.2968249478031471E-2</v>
      </c>
      <c r="EL46" s="50">
        <f ca="1">INDEX(EL$41:EL$42,MATCH(OtherAssump!$C$11,$B$41:$B$42,0))</f>
        <v>5.2968249478031471E-2</v>
      </c>
    </row>
    <row r="47" spans="2:142">
      <c r="B47" s="49" t="s">
        <v>26</v>
      </c>
      <c r="C47" s="40">
        <f ca="1">(C23*ExisitngBond!C8+C24*C41)/SUM(C23:C24)</f>
        <v>4.8043054896631548E-2</v>
      </c>
      <c r="D47" s="40">
        <f ca="1">(D23*ExisitngBond!D8+D24*D41)/SUM(D23:D24)</f>
        <v>4.8153266491818635E-2</v>
      </c>
      <c r="E47" s="40">
        <f ca="1">(E23*ExisitngBond!E8+E24*E41)/SUM(E23:E24)</f>
        <v>4.9097840923484279E-2</v>
      </c>
      <c r="F47" s="40">
        <f ca="1">(F23*ExisitngBond!F8+F24*F41)/SUM(F23:F24)</f>
        <v>4.9019648674746341E-2</v>
      </c>
      <c r="G47" s="40">
        <f ca="1">(G23*ExisitngBond!G8+G24*G41)/SUM(G23:G24)</f>
        <v>4.9763917821368638E-2</v>
      </c>
      <c r="H47" s="40">
        <f ca="1">(H23*ExisitngBond!H8+H24*H41)/SUM(H23:H24)</f>
        <v>4.9211986172852308E-2</v>
      </c>
      <c r="I47" s="40">
        <f ca="1">(I23*ExisitngBond!I8+I24*I41)/SUM(I23:I24)</f>
        <v>4.9807490589220016E-2</v>
      </c>
      <c r="J47" s="40">
        <f ca="1">(J23*ExisitngBond!J8+J24*J41)/SUM(J23:J24)</f>
        <v>4.9668462846803971E-2</v>
      </c>
      <c r="K47" s="40">
        <f ca="1">(K23*ExisitngBond!K8+K24*K41)/SUM(K23:K24)</f>
        <v>4.932921204558758E-2</v>
      </c>
      <c r="L47" s="40">
        <f ca="1">(L23*ExisitngBond!L8+L24*L41)/SUM(L23:L24)</f>
        <v>5.0294752139135861E-2</v>
      </c>
      <c r="M47" s="40">
        <f ca="1">(M23*ExisitngBond!M8+M24*M41)/SUM(M23:M24)</f>
        <v>4.9597748393089301E-2</v>
      </c>
      <c r="N47" s="40">
        <f ca="1">(N23*ExisitngBond!N8+N24*N41)/SUM(N23:N24)</f>
        <v>4.9707851692372407E-2</v>
      </c>
      <c r="O47" s="40">
        <f ca="1">(O23*ExisitngBond!O8+O24*O41)/SUM(O23:O24)</f>
        <v>5.007156325343419E-2</v>
      </c>
      <c r="P47" s="40">
        <f ca="1">(P23*ExisitngBond!P8+P24*P41)/SUM(P23:P24)</f>
        <v>5.031461945882159E-2</v>
      </c>
      <c r="Q47" s="40">
        <f ca="1">(Q23*ExisitngBond!Q8+Q24*Q41)/SUM(Q23:Q24)</f>
        <v>5.0447371051410207E-2</v>
      </c>
      <c r="R47" s="40">
        <f ca="1">(R23*ExisitngBond!R8+R24*R41)/SUM(R23:R24)</f>
        <v>5.0481717144722008E-2</v>
      </c>
      <c r="S47" s="40">
        <f ca="1">(S23*ExisitngBond!S8+S24*S41)/SUM(S23:S24)</f>
        <v>5.0417363474757886E-2</v>
      </c>
      <c r="T47" s="40">
        <f ca="1">(T23*ExisitngBond!T8+T24*T41)/SUM(T23:T24)</f>
        <v>5.0265704062501845E-2</v>
      </c>
      <c r="U47" s="40">
        <f ca="1">(U23*ExisitngBond!U8+U24*U41)/SUM(U23:U24)</f>
        <v>5.0085208763312628E-2</v>
      </c>
      <c r="V47" s="40">
        <f ca="1">(V23*ExisitngBond!V8+V24*V41)/SUM(V23:V24)</f>
        <v>4.9855784911905239E-2</v>
      </c>
      <c r="W47" s="40">
        <f ca="1">(W23*ExisitngBond!W8+W24*W41)/SUM(W23:W24)</f>
        <v>4.9573904319756425E-2</v>
      </c>
      <c r="X47" s="40">
        <f ca="1">(X23*ExisitngBond!X8+X24*X41)/SUM(X23:X24)</f>
        <v>4.9257157973473541E-2</v>
      </c>
      <c r="Y47" s="40">
        <f ca="1">(Y23*ExisitngBond!Y8+Y24*Y41)/SUM(Y23:Y24)</f>
        <v>4.8991784790960946E-2</v>
      </c>
      <c r="Z47" s="40">
        <f ca="1">(Z23*ExisitngBond!Z8+Z24*Z41)/SUM(Z23:Z24)</f>
        <v>4.8762244901073733E-2</v>
      </c>
      <c r="AA47" s="40">
        <f ca="1">(AA23*ExisitngBond!AA8+AA24*AA41)/SUM(AA23:AA24)</f>
        <v>4.8588143673632303E-2</v>
      </c>
      <c r="AB47" s="40">
        <f ca="1">(AB23*ExisitngBond!AB8+AB24*AB41)/SUM(AB23:AB24)</f>
        <v>4.8454620488076125E-2</v>
      </c>
      <c r="AC47" s="40">
        <f ca="1">(AC23*ExisitngBond!AC8+AC24*AC41)/SUM(AC23:AC24)</f>
        <v>4.8387929478439021E-2</v>
      </c>
      <c r="AD47" s="40">
        <f ca="1">(AD23*ExisitngBond!AD8+AD24*AD41)/SUM(AD23:AD24)</f>
        <v>4.8335081512401977E-2</v>
      </c>
      <c r="AE47" s="40">
        <f ca="1">(AE23*ExisitngBond!AE8+AE24*AE41)/SUM(AE23:AE24)</f>
        <v>4.8274356132885957E-2</v>
      </c>
      <c r="AF47" s="40">
        <f ca="1">(AF23*ExisitngBond!AF8+AF24*AF41)/SUM(AF23:AF24)</f>
        <v>4.8241283735498922E-2</v>
      </c>
      <c r="AG47" s="40">
        <f ca="1">(AG23*ExisitngBond!AG8+AG24*AG41)/SUM(AG23:AG24)</f>
        <v>4.8369630600836107E-2</v>
      </c>
      <c r="AH47" s="40">
        <f ca="1">(AH23*ExisitngBond!AH8+AH24*AH41)/SUM(AH23:AH24)</f>
        <v>4.8366321400042288E-2</v>
      </c>
      <c r="AI47" s="40">
        <f ca="1">(AI23*ExisitngBond!AI8+AI24*AI41)/SUM(AI23:AI24)</f>
        <v>4.8819729091067812E-2</v>
      </c>
      <c r="AJ47" s="40">
        <f ca="1">(AJ23*ExisitngBond!AJ8+AJ24*AJ41)/SUM(AJ23:AJ24)</f>
        <v>4.9272531444092008E-2</v>
      </c>
      <c r="AK47" s="40">
        <f ca="1">(AK23*ExisitngBond!AK8+AK24*AK41)/SUM(AK23:AK24)</f>
        <v>4.9725364700278392E-2</v>
      </c>
      <c r="AL47" s="40">
        <f ca="1">(AL23*ExisitngBond!AL8+AL24*AL41)/SUM(AL23:AL24)</f>
        <v>5.0178547403785169E-2</v>
      </c>
      <c r="AM47" s="40">
        <f ca="1">(AM23*ExisitngBond!AM8+AM24*AM41)/SUM(AM23:AM24)</f>
        <v>5.064914557008756E-2</v>
      </c>
      <c r="AN47" s="40">
        <f ca="1">(AN23*ExisitngBond!AN8+AN24*AN41)/SUM(AN23:AN24)</f>
        <v>5.1105135878173849E-2</v>
      </c>
      <c r="AO47" s="40">
        <f ca="1">(AO23*ExisitngBond!AO8+AO24*AO41)/SUM(AO23:AO24)</f>
        <v>5.1559839827867521E-2</v>
      </c>
      <c r="AP47" s="40">
        <f ca="1">(AP23*ExisitngBond!AP8+AP24*AP41)/SUM(AP23:AP24)</f>
        <v>5.2016776796467892E-2</v>
      </c>
      <c r="AQ47" s="40">
        <f ca="1">(AQ23*ExisitngBond!AQ8+AQ24*AQ41)/SUM(AQ23:AQ24)</f>
        <v>5.2472278870872573E-2</v>
      </c>
      <c r="AR47" s="40">
        <f ca="1">(AR23*ExisitngBond!AR8+AR24*AR41)/SUM(AR23:AR24)</f>
        <v>5.2927686358068306E-2</v>
      </c>
      <c r="AS47" s="40">
        <f ca="1">(AS23*ExisitngBond!AS8+AS24*AS41)/SUM(AS23:AS24)</f>
        <v>5.2928412154458884E-2</v>
      </c>
      <c r="AT47" s="40">
        <f ca="1">(AT23*ExisitngBond!AT8+AT24*AT41)/SUM(AT23:AT24)</f>
        <v>5.2930157462000256E-2</v>
      </c>
      <c r="AU47" s="40">
        <f ca="1">(AU23*ExisitngBond!AU8+AU24*AU41)/SUM(AU23:AU24)</f>
        <v>5.293037856676798E-2</v>
      </c>
      <c r="AV47" s="40">
        <f ca="1">(AV23*ExisitngBond!AV8+AV24*AV41)/SUM(AV23:AV24)</f>
        <v>5.2931061128575992E-2</v>
      </c>
      <c r="AW47" s="40">
        <f ca="1">(AW23*ExisitngBond!AW8+AW24*AW41)/SUM(AW23:AW24)</f>
        <v>5.2931903094815609E-2</v>
      </c>
      <c r="AX47" s="40">
        <f ca="1">(AX23*ExisitngBond!AX8+AX24*AX41)/SUM(AX23:AX24)</f>
        <v>5.2932728784735227E-2</v>
      </c>
      <c r="AY47" s="40">
        <f ca="1">(AY23*ExisitngBond!AY8+AY24*AY41)/SUM(AY23:AY24)</f>
        <v>5.2968249478031471E-2</v>
      </c>
      <c r="AZ47" s="40">
        <f ca="1">(AZ23*ExisitngBond!AZ8+AZ24*AZ41)/SUM(AZ23:AZ24)</f>
        <v>5.2968249478031471E-2</v>
      </c>
      <c r="BA47" s="40">
        <f ca="1">(BA23*ExisitngBond!BA8+BA24*BA41)/SUM(BA23:BA24)</f>
        <v>5.2968249478031471E-2</v>
      </c>
      <c r="BB47" s="40">
        <f ca="1">(BB23*ExisitngBond!BB8+BB24*BB41)/SUM(BB23:BB24)</f>
        <v>5.2968249478031471E-2</v>
      </c>
      <c r="BC47" s="40">
        <f ca="1">(BC23*ExisitngBond!BC8+BC24*BC41)/SUM(BC23:BC24)</f>
        <v>5.2968249478031471E-2</v>
      </c>
      <c r="BD47" s="40">
        <f ca="1">(BD23*ExisitngBond!BD8+BD24*BD41)/SUM(BD23:BD24)</f>
        <v>5.2968249478031471E-2</v>
      </c>
      <c r="BE47" s="40">
        <f ca="1">(BE23*ExisitngBond!BE8+BE24*BE41)/SUM(BE23:BE24)</f>
        <v>5.2968249478031471E-2</v>
      </c>
      <c r="BF47" s="40">
        <f ca="1">(BF23*ExisitngBond!BF8+BF24*BF41)/SUM(BF23:BF24)</f>
        <v>5.2968249478031471E-2</v>
      </c>
      <c r="BG47" s="40">
        <f ca="1">(BG23*ExisitngBond!BG8+BG24*BG41)/SUM(BG23:BG24)</f>
        <v>5.2968249478031471E-2</v>
      </c>
      <c r="BH47" s="40">
        <f ca="1">(BH23*ExisitngBond!BH8+BH24*BH41)/SUM(BH23:BH24)</f>
        <v>5.2968249478031471E-2</v>
      </c>
      <c r="BI47" s="40">
        <f ca="1">(BI23*ExisitngBond!BI8+BI24*BI41)/SUM(BI23:BI24)</f>
        <v>5.2968249478031471E-2</v>
      </c>
      <c r="BJ47" s="40">
        <f ca="1">(BJ23*ExisitngBond!BJ8+BJ24*BJ41)/SUM(BJ23:BJ24)</f>
        <v>5.2968249478031471E-2</v>
      </c>
      <c r="BK47" s="40">
        <f ca="1">(BK23*ExisitngBond!BK8+BK24*BK41)/SUM(BK23:BK24)</f>
        <v>5.2968249478031471E-2</v>
      </c>
      <c r="BL47" s="40">
        <f ca="1">(BL23*ExisitngBond!BL8+BL24*BL41)/SUM(BL23:BL24)</f>
        <v>5.2968249478031471E-2</v>
      </c>
      <c r="BM47" s="40">
        <f ca="1">(BM23*ExisitngBond!BM8+BM24*BM41)/SUM(BM23:BM24)</f>
        <v>5.2968249478031471E-2</v>
      </c>
      <c r="BN47" s="40">
        <f ca="1">(BN23*ExisitngBond!BN8+BN24*BN41)/SUM(BN23:BN24)</f>
        <v>5.2968249478031471E-2</v>
      </c>
      <c r="BO47" s="40">
        <f ca="1">(BO23*ExisitngBond!BO8+BO24*BO41)/SUM(BO23:BO24)</f>
        <v>5.2968249478031471E-2</v>
      </c>
      <c r="BP47" s="40">
        <f ca="1">(BP23*ExisitngBond!BP8+BP24*BP41)/SUM(BP23:BP24)</f>
        <v>5.2968249478031471E-2</v>
      </c>
      <c r="BQ47" s="40">
        <f ca="1">(BQ23*ExisitngBond!BQ8+BQ24*BQ41)/SUM(BQ23:BQ24)</f>
        <v>5.2968249478031471E-2</v>
      </c>
      <c r="BR47" s="40">
        <f ca="1">(BR23*ExisitngBond!BR8+BR24*BR41)/SUM(BR23:BR24)</f>
        <v>5.2968249478031471E-2</v>
      </c>
      <c r="BS47" s="40">
        <f ca="1">(BS23*ExisitngBond!BS8+BS24*BS41)/SUM(BS23:BS24)</f>
        <v>5.2968249478031471E-2</v>
      </c>
      <c r="BT47" s="40">
        <f ca="1">(BT23*ExisitngBond!BT8+BT24*BT41)/SUM(BT23:BT24)</f>
        <v>5.2968249478031471E-2</v>
      </c>
      <c r="BU47" s="40">
        <f ca="1">(BU23*ExisitngBond!BU8+BU24*BU41)/SUM(BU23:BU24)</f>
        <v>5.2968249478031471E-2</v>
      </c>
      <c r="BV47" s="40">
        <f ca="1">(BV23*ExisitngBond!BV8+BV24*BV41)/SUM(BV23:BV24)</f>
        <v>5.2968249478031471E-2</v>
      </c>
      <c r="BW47" s="40">
        <f ca="1">(BW23*ExisitngBond!BW8+BW24*BW41)/SUM(BW23:BW24)</f>
        <v>5.2968249478031471E-2</v>
      </c>
      <c r="BX47" s="40">
        <f ca="1">(BX23*ExisitngBond!BX8+BX24*BX41)/SUM(BX23:BX24)</f>
        <v>5.2968249478031471E-2</v>
      </c>
      <c r="BY47" s="40">
        <f ca="1">(BY23*ExisitngBond!BY8+BY24*BY41)/SUM(BY23:BY24)</f>
        <v>5.2968249478031471E-2</v>
      </c>
      <c r="BZ47" s="40">
        <f ca="1">(BZ23*ExisitngBond!BZ8+BZ24*BZ41)/SUM(BZ23:BZ24)</f>
        <v>5.2968249478031471E-2</v>
      </c>
      <c r="CA47" s="40">
        <f ca="1">(CA23*ExisitngBond!CA8+CA24*CA41)/SUM(CA23:CA24)</f>
        <v>5.2968249478031471E-2</v>
      </c>
      <c r="CB47" s="40">
        <f ca="1">(CB23*ExisitngBond!CB8+CB24*CB41)/SUM(CB23:CB24)</f>
        <v>5.2968249478031471E-2</v>
      </c>
      <c r="CC47" s="40">
        <f ca="1">(CC23*ExisitngBond!CC8+CC24*CC41)/SUM(CC23:CC24)</f>
        <v>5.2968249478031471E-2</v>
      </c>
      <c r="CD47" s="40">
        <f ca="1">(CD23*ExisitngBond!CD8+CD24*CD41)/SUM(CD23:CD24)</f>
        <v>5.2968249478031471E-2</v>
      </c>
      <c r="CE47" s="40">
        <f ca="1">(CE23*ExisitngBond!CE8+CE24*CE41)/SUM(CE23:CE24)</f>
        <v>5.2968249478031471E-2</v>
      </c>
      <c r="CF47" s="40">
        <f ca="1">(CF23*ExisitngBond!CF8+CF24*CF41)/SUM(CF23:CF24)</f>
        <v>5.2968249478031471E-2</v>
      </c>
      <c r="CG47" s="40">
        <f ca="1">(CG23*ExisitngBond!CG8+CG24*CG41)/SUM(CG23:CG24)</f>
        <v>5.2968249478031471E-2</v>
      </c>
      <c r="CH47" s="40">
        <f ca="1">(CH23*ExisitngBond!CH8+CH24*CH41)/SUM(CH23:CH24)</f>
        <v>5.2968249478031471E-2</v>
      </c>
      <c r="CI47" s="40">
        <f ca="1">(CI23*ExisitngBond!CI8+CI24*CI41)/SUM(CI23:CI24)</f>
        <v>5.2968249478031471E-2</v>
      </c>
      <c r="CJ47" s="40">
        <f ca="1">(CJ23*ExisitngBond!CJ8+CJ24*CJ41)/SUM(CJ23:CJ24)</f>
        <v>5.2968249478031471E-2</v>
      </c>
      <c r="CK47" s="40">
        <f ca="1">(CK23*ExisitngBond!CK8+CK24*CK41)/SUM(CK23:CK24)</f>
        <v>5.2968249478031471E-2</v>
      </c>
      <c r="CL47" s="40">
        <f ca="1">(CL23*ExisitngBond!CL8+CL24*CL41)/SUM(CL23:CL24)</f>
        <v>5.2968249478031471E-2</v>
      </c>
      <c r="CM47" s="40">
        <f ca="1">(CM23*ExisitngBond!CM8+CM24*CM41)/SUM(CM23:CM24)</f>
        <v>5.2968249478031471E-2</v>
      </c>
      <c r="CN47" s="40">
        <f ca="1">(CN23*ExisitngBond!CN8+CN24*CN41)/SUM(CN23:CN24)</f>
        <v>5.2968249478031471E-2</v>
      </c>
      <c r="CO47" s="40">
        <f ca="1">(CO23*ExisitngBond!CO8+CO24*CO41)/SUM(CO23:CO24)</f>
        <v>5.2968249478031471E-2</v>
      </c>
      <c r="CP47" s="40">
        <f ca="1">(CP23*ExisitngBond!CP8+CP24*CP41)/SUM(CP23:CP24)</f>
        <v>5.2968249478031471E-2</v>
      </c>
      <c r="CQ47" s="40">
        <f ca="1">(CQ23*ExisitngBond!CQ8+CQ24*CQ41)/SUM(CQ23:CQ24)</f>
        <v>5.2968249478031471E-2</v>
      </c>
      <c r="CR47" s="40">
        <f ca="1">(CR23*ExisitngBond!CR8+CR24*CR41)/SUM(CR23:CR24)</f>
        <v>5.2968249478031471E-2</v>
      </c>
      <c r="CS47" s="40">
        <f ca="1">(CS23*ExisitngBond!CS8+CS24*CS41)/SUM(CS23:CS24)</f>
        <v>5.2968249478031471E-2</v>
      </c>
      <c r="CT47" s="40">
        <f ca="1">(CT23*ExisitngBond!CT8+CT24*CT41)/SUM(CT23:CT24)</f>
        <v>5.2968249478031471E-2</v>
      </c>
      <c r="CU47" s="40">
        <f ca="1">(CU23*ExisitngBond!CU8+CU24*CU41)/SUM(CU23:CU24)</f>
        <v>5.2968249478031471E-2</v>
      </c>
      <c r="CV47" s="40">
        <f ca="1">(CV23*ExisitngBond!CV8+CV24*CV41)/SUM(CV23:CV24)</f>
        <v>5.2968249478031471E-2</v>
      </c>
      <c r="CW47" s="40">
        <f ca="1">(CW23*ExisitngBond!CW8+CW24*CW41)/SUM(CW23:CW24)</f>
        <v>5.2968249478031471E-2</v>
      </c>
      <c r="CX47" s="40">
        <f ca="1">(CX23*ExisitngBond!CX8+CX24*CX41)/SUM(CX23:CX24)</f>
        <v>5.2968249478031471E-2</v>
      </c>
      <c r="CY47" s="40">
        <f ca="1">(CY23*ExisitngBond!CY8+CY24*CY41)/SUM(CY23:CY24)</f>
        <v>5.2968249478031471E-2</v>
      </c>
      <c r="CZ47" s="40">
        <f ca="1">(CZ23*ExisitngBond!CZ8+CZ24*CZ41)/SUM(CZ23:CZ24)</f>
        <v>5.2968249478031471E-2</v>
      </c>
      <c r="DA47" s="40">
        <f ca="1">(DA23*ExisitngBond!DA8+DA24*DA41)/SUM(DA23:DA24)</f>
        <v>5.2968249478031471E-2</v>
      </c>
      <c r="DB47" s="40">
        <f ca="1">(DB23*ExisitngBond!DB8+DB24*DB41)/SUM(DB23:DB24)</f>
        <v>5.2968249478031471E-2</v>
      </c>
      <c r="DC47" s="40">
        <f ca="1">(DC23*ExisitngBond!DC8+DC24*DC41)/SUM(DC23:DC24)</f>
        <v>5.2968249478031471E-2</v>
      </c>
      <c r="DD47" s="40">
        <f ca="1">(DD23*ExisitngBond!DD8+DD24*DD41)/SUM(DD23:DD24)</f>
        <v>5.2968249478031471E-2</v>
      </c>
      <c r="DE47" s="40">
        <f ca="1">(DE23*ExisitngBond!DE8+DE24*DE41)/SUM(DE23:DE24)</f>
        <v>5.2968249478031471E-2</v>
      </c>
      <c r="DF47" s="40">
        <f ca="1">(DF23*ExisitngBond!DF8+DF24*DF41)/SUM(DF23:DF24)</f>
        <v>5.2968249478031471E-2</v>
      </c>
      <c r="DG47" s="40">
        <f ca="1">(DG23*ExisitngBond!DG8+DG24*DG41)/SUM(DG23:DG24)</f>
        <v>5.2968249478031471E-2</v>
      </c>
      <c r="DH47" s="40">
        <f ca="1">(DH23*ExisitngBond!DH8+DH24*DH41)/SUM(DH23:DH24)</f>
        <v>5.2968249478031471E-2</v>
      </c>
      <c r="DI47" s="40">
        <f ca="1">(DI23*ExisitngBond!DI8+DI24*DI41)/SUM(DI23:DI24)</f>
        <v>5.2968249478031471E-2</v>
      </c>
      <c r="DJ47" s="40">
        <f ca="1">(DJ23*ExisitngBond!DJ8+DJ24*DJ41)/SUM(DJ23:DJ24)</f>
        <v>5.2968249478031471E-2</v>
      </c>
      <c r="DK47" s="40">
        <f ca="1">(DK23*ExisitngBond!DK8+DK24*DK41)/SUM(DK23:DK24)</f>
        <v>5.2968249478031471E-2</v>
      </c>
      <c r="DL47" s="40">
        <f ca="1">(DL23*ExisitngBond!DL8+DL24*DL41)/SUM(DL23:DL24)</f>
        <v>5.2968249478031471E-2</v>
      </c>
      <c r="DM47" s="40">
        <f ca="1">(DM23*ExisitngBond!DM8+DM24*DM41)/SUM(DM23:DM24)</f>
        <v>5.2968249478031471E-2</v>
      </c>
      <c r="DN47" s="40">
        <f ca="1">(DN23*ExisitngBond!DN8+DN24*DN41)/SUM(DN23:DN24)</f>
        <v>5.2968249478031471E-2</v>
      </c>
      <c r="DO47" s="40">
        <f ca="1">(DO23*ExisitngBond!DO8+DO24*DO41)/SUM(DO23:DO24)</f>
        <v>5.2968249478031471E-2</v>
      </c>
      <c r="DP47" s="40">
        <f ca="1">(DP23*ExisitngBond!DP8+DP24*DP41)/SUM(DP23:DP24)</f>
        <v>5.2968249478031471E-2</v>
      </c>
      <c r="DQ47" s="40">
        <f ca="1">(DQ23*ExisitngBond!DQ8+DQ24*DQ41)/SUM(DQ23:DQ24)</f>
        <v>5.2968249478031471E-2</v>
      </c>
      <c r="DR47" s="40">
        <f ca="1">(DR23*ExisitngBond!DR8+DR24*DR41)/SUM(DR23:DR24)</f>
        <v>5.2968249478031471E-2</v>
      </c>
      <c r="DS47" s="40">
        <f ca="1">(DS23*ExisitngBond!DS8+DS24*DS41)/SUM(DS23:DS24)</f>
        <v>5.2968249478031471E-2</v>
      </c>
      <c r="DT47" s="40">
        <f ca="1">(DT23*ExisitngBond!DT8+DT24*DT41)/SUM(DT23:DT24)</f>
        <v>5.2968249478031471E-2</v>
      </c>
      <c r="DU47" s="40">
        <f ca="1">(DU23*ExisitngBond!DU8+DU24*DU41)/SUM(DU23:DU24)</f>
        <v>5.2968249478031471E-2</v>
      </c>
      <c r="DV47" s="40">
        <f ca="1">(DV23*ExisitngBond!DV8+DV24*DV41)/SUM(DV23:DV24)</f>
        <v>5.2968249478031471E-2</v>
      </c>
      <c r="DW47" s="40">
        <f ca="1">(DW23*ExisitngBond!DW8+DW24*DW41)/SUM(DW23:DW24)</f>
        <v>5.2968249478031471E-2</v>
      </c>
      <c r="DX47" s="40">
        <f ca="1">(DX23*ExisitngBond!DX8+DX24*DX41)/SUM(DX23:DX24)</f>
        <v>5.2968249478031471E-2</v>
      </c>
      <c r="DY47" s="40">
        <f ca="1">(DY23*ExisitngBond!DY8+DY24*DY41)/SUM(DY23:DY24)</f>
        <v>5.2968249478031471E-2</v>
      </c>
      <c r="DZ47" s="40">
        <f ca="1">(DZ23*ExisitngBond!DZ8+DZ24*DZ41)/SUM(DZ23:DZ24)</f>
        <v>5.2968249478031471E-2</v>
      </c>
      <c r="EA47" s="40">
        <f ca="1">(EA23*ExisitngBond!EA8+EA24*EA41)/SUM(EA23:EA24)</f>
        <v>5.2968249478031471E-2</v>
      </c>
      <c r="EB47" s="40">
        <f ca="1">(EB23*ExisitngBond!EB8+EB24*EB41)/SUM(EB23:EB24)</f>
        <v>5.2968249478031471E-2</v>
      </c>
      <c r="EC47" s="40">
        <f ca="1">(EC23*ExisitngBond!EC8+EC24*EC41)/SUM(EC23:EC24)</f>
        <v>5.2968249478031471E-2</v>
      </c>
      <c r="ED47" s="40">
        <f ca="1">(ED23*ExisitngBond!ED8+ED24*ED41)/SUM(ED23:ED24)</f>
        <v>5.2968249478031471E-2</v>
      </c>
      <c r="EE47" s="40">
        <f ca="1">(EE23*ExisitngBond!EE8+EE24*EE41)/SUM(EE23:EE24)</f>
        <v>5.2968249478031471E-2</v>
      </c>
      <c r="EF47" s="40">
        <f ca="1">(EF23*ExisitngBond!EF8+EF24*EF41)/SUM(EF23:EF24)</f>
        <v>5.2968249478031471E-2</v>
      </c>
      <c r="EG47" s="40">
        <f ca="1">(EG23*ExisitngBond!EG8+EG24*EG41)/SUM(EG23:EG24)</f>
        <v>5.2968249478031471E-2</v>
      </c>
      <c r="EH47" s="40">
        <f ca="1">(EH23*ExisitngBond!EH8+EH24*EH41)/SUM(EH23:EH24)</f>
        <v>5.2968249478031471E-2</v>
      </c>
      <c r="EI47" s="40">
        <f ca="1">(EI23*ExisitngBond!EI8+EI24*EI41)/SUM(EI23:EI24)</f>
        <v>5.2968249478031471E-2</v>
      </c>
      <c r="EJ47" s="40">
        <f ca="1">(EJ23*ExisitngBond!EJ8+EJ24*EJ41)/SUM(EJ23:EJ24)</f>
        <v>5.2968249478031471E-2</v>
      </c>
      <c r="EK47" s="40">
        <f ca="1">(EK23*ExisitngBond!EK8+EK24*EK41)/SUM(EK23:EK24)</f>
        <v>5.2968249478031471E-2</v>
      </c>
      <c r="EL47" s="40">
        <f ca="1">(EL23*ExisitngBond!EL8+EL24*EL41)/SUM(EL23:EL24)</f>
        <v>5.2968249478031471E-2</v>
      </c>
    </row>
    <row r="48" spans="2:142" ht="15.75" customHeight="1">
      <c r="B48" s="51" t="s">
        <v>29</v>
      </c>
      <c r="C48" s="50">
        <f>IFERROR(SUMPRODUCT(AssetAssump!$E$6:$E$28,
AssetAssump!$D$6:$D$28,
N(AssetAssump!$B$6:$B$28="Equity")
/
SUMIF(AssetAssump!$B$6:$B$28,"Equity",AssetAssump!$D$6:$D$28)),0)</f>
        <v>8.8400000000022461E-2</v>
      </c>
      <c r="D48" s="50">
        <f>IFERROR(SUMPRODUCT(AssetAssump!$E$6:$E$28,
AssetAssump!$D$6:$D$28,
N(AssetAssump!$B$6:$B$28="Equity")
/
SUMIF(AssetAssump!$B$6:$B$28,"Equity",AssetAssump!$D$6:$D$28)),0)</f>
        <v>8.8400000000022461E-2</v>
      </c>
      <c r="E48" s="50">
        <f>IFERROR(SUMPRODUCT(AssetAssump!$E$6:$E$28,
AssetAssump!$D$6:$D$28,
N(AssetAssump!$B$6:$B$28="Equity")
/
SUMIF(AssetAssump!$B$6:$B$28,"Equity",AssetAssump!$D$6:$D$28)),0)</f>
        <v>8.8400000000022461E-2</v>
      </c>
      <c r="F48" s="50">
        <f>IFERROR(SUMPRODUCT(AssetAssump!$E$6:$E$28,
AssetAssump!$D$6:$D$28,
N(AssetAssump!$B$6:$B$28="Equity")
/
SUMIF(AssetAssump!$B$6:$B$28,"Equity",AssetAssump!$D$6:$D$28)),0)</f>
        <v>8.8400000000022461E-2</v>
      </c>
      <c r="G48" s="50">
        <f>IFERROR(SUMPRODUCT(AssetAssump!$E$6:$E$28,
AssetAssump!$D$6:$D$28,
N(AssetAssump!$B$6:$B$28="Equity")
/
SUMIF(AssetAssump!$B$6:$B$28,"Equity",AssetAssump!$D$6:$D$28)),0)</f>
        <v>8.8400000000022461E-2</v>
      </c>
      <c r="H48" s="50">
        <f>IFERROR(SUMPRODUCT(AssetAssump!$E$6:$E$28,
AssetAssump!$D$6:$D$28,
N(AssetAssump!$B$6:$B$28="Equity")
/
SUMIF(AssetAssump!$B$6:$B$28,"Equity",AssetAssump!$D$6:$D$28)),0)</f>
        <v>8.8400000000022461E-2</v>
      </c>
      <c r="I48" s="50">
        <f>IFERROR(SUMPRODUCT(AssetAssump!$E$6:$E$28,
AssetAssump!$D$6:$D$28,
N(AssetAssump!$B$6:$B$28="Equity")
/
SUMIF(AssetAssump!$B$6:$B$28,"Equity",AssetAssump!$D$6:$D$28)),0)</f>
        <v>8.8400000000022461E-2</v>
      </c>
      <c r="J48" s="50">
        <f>IFERROR(SUMPRODUCT(AssetAssump!$E$6:$E$28,
AssetAssump!$D$6:$D$28,
N(AssetAssump!$B$6:$B$28="Equity")
/
SUMIF(AssetAssump!$B$6:$B$28,"Equity",AssetAssump!$D$6:$D$28)),0)</f>
        <v>8.8400000000022461E-2</v>
      </c>
      <c r="K48" s="50">
        <f>IFERROR(SUMPRODUCT(AssetAssump!$E$6:$E$28,
AssetAssump!$D$6:$D$28,
N(AssetAssump!$B$6:$B$28="Equity")
/
SUMIF(AssetAssump!$B$6:$B$28,"Equity",AssetAssump!$D$6:$D$28)),0)</f>
        <v>8.8400000000022461E-2</v>
      </c>
      <c r="L48" s="50">
        <f>IFERROR(SUMPRODUCT(AssetAssump!$E$6:$E$28,
AssetAssump!$D$6:$D$28,
N(AssetAssump!$B$6:$B$28="Equity")
/
SUMIF(AssetAssump!$B$6:$B$28,"Equity",AssetAssump!$D$6:$D$28)),0)</f>
        <v>8.8400000000022461E-2</v>
      </c>
      <c r="M48" s="50">
        <f>IFERROR(SUMPRODUCT(AssetAssump!$E$6:$E$28,
AssetAssump!$D$6:$D$28,
N(AssetAssump!$B$6:$B$28="Equity")
/
SUMIF(AssetAssump!$B$6:$B$28,"Equity",AssetAssump!$D$6:$D$28)),0)</f>
        <v>8.8400000000022461E-2</v>
      </c>
      <c r="N48" s="50">
        <f>IFERROR(SUMPRODUCT(AssetAssump!$E$6:$E$28,
AssetAssump!$D$6:$D$28,
N(AssetAssump!$B$6:$B$28="Equity")
/
SUMIF(AssetAssump!$B$6:$B$28,"Equity",AssetAssump!$D$6:$D$28)),0)</f>
        <v>8.8400000000022461E-2</v>
      </c>
      <c r="O48" s="50">
        <f>IFERROR(SUMPRODUCT(AssetAssump!$E$6:$E$28,
AssetAssump!$D$6:$D$28,
N(AssetAssump!$B$6:$B$28="Equity")
/
SUMIF(AssetAssump!$B$6:$B$28,"Equity",AssetAssump!$D$6:$D$28)),0)</f>
        <v>8.8400000000022461E-2</v>
      </c>
      <c r="P48" s="50">
        <f>IFERROR(SUMPRODUCT(AssetAssump!$E$6:$E$28,
AssetAssump!$D$6:$D$28,
N(AssetAssump!$B$6:$B$28="Equity")
/
SUMIF(AssetAssump!$B$6:$B$28,"Equity",AssetAssump!$D$6:$D$28)),0)</f>
        <v>8.8400000000022461E-2</v>
      </c>
      <c r="Q48" s="50">
        <f>IFERROR(SUMPRODUCT(AssetAssump!$E$6:$E$28,
AssetAssump!$D$6:$D$28,
N(AssetAssump!$B$6:$B$28="Equity")
/
SUMIF(AssetAssump!$B$6:$B$28,"Equity",AssetAssump!$D$6:$D$28)),0)</f>
        <v>8.8400000000022461E-2</v>
      </c>
      <c r="R48" s="50">
        <f>IFERROR(SUMPRODUCT(AssetAssump!$E$6:$E$28,
AssetAssump!$D$6:$D$28,
N(AssetAssump!$B$6:$B$28="Equity")
/
SUMIF(AssetAssump!$B$6:$B$28,"Equity",AssetAssump!$D$6:$D$28)),0)</f>
        <v>8.8400000000022461E-2</v>
      </c>
      <c r="S48" s="50">
        <f>IFERROR(SUMPRODUCT(AssetAssump!$E$6:$E$28,
AssetAssump!$D$6:$D$28,
N(AssetAssump!$B$6:$B$28="Equity")
/
SUMIF(AssetAssump!$B$6:$B$28,"Equity",AssetAssump!$D$6:$D$28)),0)</f>
        <v>8.8400000000022461E-2</v>
      </c>
      <c r="T48" s="50">
        <f>IFERROR(SUMPRODUCT(AssetAssump!$E$6:$E$28,
AssetAssump!$D$6:$D$28,
N(AssetAssump!$B$6:$B$28="Equity")
/
SUMIF(AssetAssump!$B$6:$B$28,"Equity",AssetAssump!$D$6:$D$28)),0)</f>
        <v>8.8400000000022461E-2</v>
      </c>
      <c r="U48" s="50">
        <f>IFERROR(SUMPRODUCT(AssetAssump!$E$6:$E$28,
AssetAssump!$D$6:$D$28,
N(AssetAssump!$B$6:$B$28="Equity")
/
SUMIF(AssetAssump!$B$6:$B$28,"Equity",AssetAssump!$D$6:$D$28)),0)</f>
        <v>8.8400000000022461E-2</v>
      </c>
      <c r="V48" s="50">
        <f>IFERROR(SUMPRODUCT(AssetAssump!$E$6:$E$28,
AssetAssump!$D$6:$D$28,
N(AssetAssump!$B$6:$B$28="Equity")
/
SUMIF(AssetAssump!$B$6:$B$28,"Equity",AssetAssump!$D$6:$D$28)),0)</f>
        <v>8.8400000000022461E-2</v>
      </c>
      <c r="W48" s="50">
        <f>IFERROR(SUMPRODUCT(AssetAssump!$E$6:$E$28,
AssetAssump!$D$6:$D$28,
N(AssetAssump!$B$6:$B$28="Equity")
/
SUMIF(AssetAssump!$B$6:$B$28,"Equity",AssetAssump!$D$6:$D$28)),0)</f>
        <v>8.8400000000022461E-2</v>
      </c>
      <c r="X48" s="50">
        <f>IFERROR(SUMPRODUCT(AssetAssump!$E$6:$E$28,
AssetAssump!$D$6:$D$28,
N(AssetAssump!$B$6:$B$28="Equity")
/
SUMIF(AssetAssump!$B$6:$B$28,"Equity",AssetAssump!$D$6:$D$28)),0)</f>
        <v>8.8400000000022461E-2</v>
      </c>
      <c r="Y48" s="50">
        <f>IFERROR(SUMPRODUCT(AssetAssump!$E$6:$E$28,
AssetAssump!$D$6:$D$28,
N(AssetAssump!$B$6:$B$28="Equity")
/
SUMIF(AssetAssump!$B$6:$B$28,"Equity",AssetAssump!$D$6:$D$28)),0)</f>
        <v>8.8400000000022461E-2</v>
      </c>
      <c r="Z48" s="50">
        <f>IFERROR(SUMPRODUCT(AssetAssump!$E$6:$E$28,
AssetAssump!$D$6:$D$28,
N(AssetAssump!$B$6:$B$28="Equity")
/
SUMIF(AssetAssump!$B$6:$B$28,"Equity",AssetAssump!$D$6:$D$28)),0)</f>
        <v>8.8400000000022461E-2</v>
      </c>
      <c r="AA48" s="50">
        <f>IFERROR(SUMPRODUCT(AssetAssump!$E$6:$E$28,
AssetAssump!$D$6:$D$28,
N(AssetAssump!$B$6:$B$28="Equity")
/
SUMIF(AssetAssump!$B$6:$B$28,"Equity",AssetAssump!$D$6:$D$28)),0)</f>
        <v>8.8400000000022461E-2</v>
      </c>
      <c r="AB48" s="50">
        <f>IFERROR(SUMPRODUCT(AssetAssump!$E$6:$E$28,
AssetAssump!$D$6:$D$28,
N(AssetAssump!$B$6:$B$28="Equity")
/
SUMIF(AssetAssump!$B$6:$B$28,"Equity",AssetAssump!$D$6:$D$28)),0)</f>
        <v>8.8400000000022461E-2</v>
      </c>
      <c r="AC48" s="50">
        <f>IFERROR(SUMPRODUCT(AssetAssump!$E$6:$E$28,
AssetAssump!$D$6:$D$28,
N(AssetAssump!$B$6:$B$28="Equity")
/
SUMIF(AssetAssump!$B$6:$B$28,"Equity",AssetAssump!$D$6:$D$28)),0)</f>
        <v>8.8400000000022461E-2</v>
      </c>
      <c r="AD48" s="50">
        <f>IFERROR(SUMPRODUCT(AssetAssump!$E$6:$E$28,
AssetAssump!$D$6:$D$28,
N(AssetAssump!$B$6:$B$28="Equity")
/
SUMIF(AssetAssump!$B$6:$B$28,"Equity",AssetAssump!$D$6:$D$28)),0)</f>
        <v>8.8400000000022461E-2</v>
      </c>
      <c r="AE48" s="50">
        <f>IFERROR(SUMPRODUCT(AssetAssump!$E$6:$E$28,
AssetAssump!$D$6:$D$28,
N(AssetAssump!$B$6:$B$28="Equity")
/
SUMIF(AssetAssump!$B$6:$B$28,"Equity",AssetAssump!$D$6:$D$28)),0)</f>
        <v>8.8400000000022461E-2</v>
      </c>
      <c r="AF48" s="50">
        <f>IFERROR(SUMPRODUCT(AssetAssump!$E$6:$E$28,
AssetAssump!$D$6:$D$28,
N(AssetAssump!$B$6:$B$28="Equity")
/
SUMIF(AssetAssump!$B$6:$B$28,"Equity",AssetAssump!$D$6:$D$28)),0)</f>
        <v>8.8400000000022461E-2</v>
      </c>
      <c r="AG48" s="50">
        <f>IFERROR(SUMPRODUCT(AssetAssump!$E$6:$E$28,
AssetAssump!$D$6:$D$28,
N(AssetAssump!$B$6:$B$28="Equity")
/
SUMIF(AssetAssump!$B$6:$B$28,"Equity",AssetAssump!$D$6:$D$28)),0)</f>
        <v>8.8400000000022461E-2</v>
      </c>
      <c r="AH48" s="50">
        <f>IFERROR(SUMPRODUCT(AssetAssump!$E$6:$E$28,
AssetAssump!$D$6:$D$28,
N(AssetAssump!$B$6:$B$28="Equity")
/
SUMIF(AssetAssump!$B$6:$B$28,"Equity",AssetAssump!$D$6:$D$28)),0)</f>
        <v>8.8400000000022461E-2</v>
      </c>
      <c r="AI48" s="50">
        <f>IFERROR(SUMPRODUCT(AssetAssump!$E$6:$E$28,
AssetAssump!$D$6:$D$28,
N(AssetAssump!$B$6:$B$28="Equity")
/
SUMIF(AssetAssump!$B$6:$B$28,"Equity",AssetAssump!$D$6:$D$28)),0)</f>
        <v>8.8400000000022461E-2</v>
      </c>
      <c r="AJ48" s="50">
        <f>IFERROR(SUMPRODUCT(AssetAssump!$E$6:$E$28,
AssetAssump!$D$6:$D$28,
N(AssetAssump!$B$6:$B$28="Equity")
/
SUMIF(AssetAssump!$B$6:$B$28,"Equity",AssetAssump!$D$6:$D$28)),0)</f>
        <v>8.8400000000022461E-2</v>
      </c>
      <c r="AK48" s="50">
        <f>IFERROR(SUMPRODUCT(AssetAssump!$E$6:$E$28,
AssetAssump!$D$6:$D$28,
N(AssetAssump!$B$6:$B$28="Equity")
/
SUMIF(AssetAssump!$B$6:$B$28,"Equity",AssetAssump!$D$6:$D$28)),0)</f>
        <v>8.8400000000022461E-2</v>
      </c>
      <c r="AL48" s="50">
        <f>IFERROR(SUMPRODUCT(AssetAssump!$E$6:$E$28,
AssetAssump!$D$6:$D$28,
N(AssetAssump!$B$6:$B$28="Equity")
/
SUMIF(AssetAssump!$B$6:$B$28,"Equity",AssetAssump!$D$6:$D$28)),0)</f>
        <v>8.8400000000022461E-2</v>
      </c>
      <c r="AM48" s="50">
        <f>IFERROR(SUMPRODUCT(AssetAssump!$E$6:$E$28,
AssetAssump!$D$6:$D$28,
N(AssetAssump!$B$6:$B$28="Equity")
/
SUMIF(AssetAssump!$B$6:$B$28,"Equity",AssetAssump!$D$6:$D$28)),0)</f>
        <v>8.8400000000022461E-2</v>
      </c>
      <c r="AN48" s="50">
        <f>IFERROR(SUMPRODUCT(AssetAssump!$E$6:$E$28,
AssetAssump!$D$6:$D$28,
N(AssetAssump!$B$6:$B$28="Equity")
/
SUMIF(AssetAssump!$B$6:$B$28,"Equity",AssetAssump!$D$6:$D$28)),0)</f>
        <v>8.8400000000022461E-2</v>
      </c>
      <c r="AO48" s="50">
        <f>IFERROR(SUMPRODUCT(AssetAssump!$E$6:$E$28,
AssetAssump!$D$6:$D$28,
N(AssetAssump!$B$6:$B$28="Equity")
/
SUMIF(AssetAssump!$B$6:$B$28,"Equity",AssetAssump!$D$6:$D$28)),0)</f>
        <v>8.8400000000022461E-2</v>
      </c>
      <c r="AP48" s="50">
        <f>IFERROR(SUMPRODUCT(AssetAssump!$E$6:$E$28,
AssetAssump!$D$6:$D$28,
N(AssetAssump!$B$6:$B$28="Equity")
/
SUMIF(AssetAssump!$B$6:$B$28,"Equity",AssetAssump!$D$6:$D$28)),0)</f>
        <v>8.8400000000022461E-2</v>
      </c>
      <c r="AQ48" s="50">
        <f>IFERROR(SUMPRODUCT(AssetAssump!$E$6:$E$28,
AssetAssump!$D$6:$D$28,
N(AssetAssump!$B$6:$B$28="Equity")
/
SUMIF(AssetAssump!$B$6:$B$28,"Equity",AssetAssump!$D$6:$D$28)),0)</f>
        <v>8.8400000000022461E-2</v>
      </c>
      <c r="AR48" s="50">
        <f>IFERROR(SUMPRODUCT(AssetAssump!$E$6:$E$28,
AssetAssump!$D$6:$D$28,
N(AssetAssump!$B$6:$B$28="Equity")
/
SUMIF(AssetAssump!$B$6:$B$28,"Equity",AssetAssump!$D$6:$D$28)),0)</f>
        <v>8.8400000000022461E-2</v>
      </c>
      <c r="AS48" s="50">
        <f>IFERROR(SUMPRODUCT(AssetAssump!$E$6:$E$28,
AssetAssump!$D$6:$D$28,
N(AssetAssump!$B$6:$B$28="Equity")
/
SUMIF(AssetAssump!$B$6:$B$28,"Equity",AssetAssump!$D$6:$D$28)),0)</f>
        <v>8.8400000000022461E-2</v>
      </c>
      <c r="AT48" s="50">
        <f>IFERROR(SUMPRODUCT(AssetAssump!$E$6:$E$28,
AssetAssump!$D$6:$D$28,
N(AssetAssump!$B$6:$B$28="Equity")
/
SUMIF(AssetAssump!$B$6:$B$28,"Equity",AssetAssump!$D$6:$D$28)),0)</f>
        <v>8.8400000000022461E-2</v>
      </c>
      <c r="AU48" s="50">
        <f>IFERROR(SUMPRODUCT(AssetAssump!$E$6:$E$28,
AssetAssump!$D$6:$D$28,
N(AssetAssump!$B$6:$B$28="Equity")
/
SUMIF(AssetAssump!$B$6:$B$28,"Equity",AssetAssump!$D$6:$D$28)),0)</f>
        <v>8.8400000000022461E-2</v>
      </c>
      <c r="AV48" s="50">
        <f>IFERROR(SUMPRODUCT(AssetAssump!$E$6:$E$28,
AssetAssump!$D$6:$D$28,
N(AssetAssump!$B$6:$B$28="Equity")
/
SUMIF(AssetAssump!$B$6:$B$28,"Equity",AssetAssump!$D$6:$D$28)),0)</f>
        <v>8.8400000000022461E-2</v>
      </c>
      <c r="AW48" s="50">
        <f>IFERROR(SUMPRODUCT(AssetAssump!$E$6:$E$28,
AssetAssump!$D$6:$D$28,
N(AssetAssump!$B$6:$B$28="Equity")
/
SUMIF(AssetAssump!$B$6:$B$28,"Equity",AssetAssump!$D$6:$D$28)),0)</f>
        <v>8.8400000000022461E-2</v>
      </c>
      <c r="AX48" s="50">
        <f>IFERROR(SUMPRODUCT(AssetAssump!$E$6:$E$28,
AssetAssump!$D$6:$D$28,
N(AssetAssump!$B$6:$B$28="Equity")
/
SUMIF(AssetAssump!$B$6:$B$28,"Equity",AssetAssump!$D$6:$D$28)),0)</f>
        <v>8.8400000000022461E-2</v>
      </c>
      <c r="AY48" s="50">
        <f>IFERROR(SUMPRODUCT(AssetAssump!$E$6:$E$28,
AssetAssump!$D$6:$D$28,
N(AssetAssump!$B$6:$B$28="Equity")
/
SUMIF(AssetAssump!$B$6:$B$28,"Equity",AssetAssump!$D$6:$D$28)),0)</f>
        <v>8.8400000000022461E-2</v>
      </c>
      <c r="AZ48" s="50">
        <f>IFERROR(SUMPRODUCT(AssetAssump!$E$6:$E$28,
AssetAssump!$D$6:$D$28,
N(AssetAssump!$B$6:$B$28="Equity")
/
SUMIF(AssetAssump!$B$6:$B$28,"Equity",AssetAssump!$D$6:$D$28)),0)</f>
        <v>8.8400000000022461E-2</v>
      </c>
      <c r="BA48" s="50">
        <f>IFERROR(SUMPRODUCT(AssetAssump!$E$6:$E$28,
AssetAssump!$D$6:$D$28,
N(AssetAssump!$B$6:$B$28="Equity")
/
SUMIF(AssetAssump!$B$6:$B$28,"Equity",AssetAssump!$D$6:$D$28)),0)</f>
        <v>8.8400000000022461E-2</v>
      </c>
      <c r="BB48" s="50">
        <f>IFERROR(SUMPRODUCT(AssetAssump!$E$6:$E$28,
AssetAssump!$D$6:$D$28,
N(AssetAssump!$B$6:$B$28="Equity")
/
SUMIF(AssetAssump!$B$6:$B$28,"Equity",AssetAssump!$D$6:$D$28)),0)</f>
        <v>8.8400000000022461E-2</v>
      </c>
      <c r="BC48" s="50">
        <f>IFERROR(SUMPRODUCT(AssetAssump!$E$6:$E$28,
AssetAssump!$D$6:$D$28,
N(AssetAssump!$B$6:$B$28="Equity")
/
SUMIF(AssetAssump!$B$6:$B$28,"Equity",AssetAssump!$D$6:$D$28)),0)</f>
        <v>8.8400000000022461E-2</v>
      </c>
      <c r="BD48" s="50">
        <f>IFERROR(SUMPRODUCT(AssetAssump!$E$6:$E$28,
AssetAssump!$D$6:$D$28,
N(AssetAssump!$B$6:$B$28="Equity")
/
SUMIF(AssetAssump!$B$6:$B$28,"Equity",AssetAssump!$D$6:$D$28)),0)</f>
        <v>8.8400000000022461E-2</v>
      </c>
      <c r="BE48" s="50">
        <f>IFERROR(SUMPRODUCT(AssetAssump!$E$6:$E$28,
AssetAssump!$D$6:$D$28,
N(AssetAssump!$B$6:$B$28="Equity")
/
SUMIF(AssetAssump!$B$6:$B$28,"Equity",AssetAssump!$D$6:$D$28)),0)</f>
        <v>8.8400000000022461E-2</v>
      </c>
      <c r="BF48" s="50">
        <f>IFERROR(SUMPRODUCT(AssetAssump!$E$6:$E$28,
AssetAssump!$D$6:$D$28,
N(AssetAssump!$B$6:$B$28="Equity")
/
SUMIF(AssetAssump!$B$6:$B$28,"Equity",AssetAssump!$D$6:$D$28)),0)</f>
        <v>8.8400000000022461E-2</v>
      </c>
      <c r="BG48" s="50">
        <f>IFERROR(SUMPRODUCT(AssetAssump!$E$6:$E$28,
AssetAssump!$D$6:$D$28,
N(AssetAssump!$B$6:$B$28="Equity")
/
SUMIF(AssetAssump!$B$6:$B$28,"Equity",AssetAssump!$D$6:$D$28)),0)</f>
        <v>8.8400000000022461E-2</v>
      </c>
      <c r="BH48" s="50">
        <f>IFERROR(SUMPRODUCT(AssetAssump!$E$6:$E$28,
AssetAssump!$D$6:$D$28,
N(AssetAssump!$B$6:$B$28="Equity")
/
SUMIF(AssetAssump!$B$6:$B$28,"Equity",AssetAssump!$D$6:$D$28)),0)</f>
        <v>8.8400000000022461E-2</v>
      </c>
      <c r="BI48" s="50">
        <f>IFERROR(SUMPRODUCT(AssetAssump!$E$6:$E$28,
AssetAssump!$D$6:$D$28,
N(AssetAssump!$B$6:$B$28="Equity")
/
SUMIF(AssetAssump!$B$6:$B$28,"Equity",AssetAssump!$D$6:$D$28)),0)</f>
        <v>8.8400000000022461E-2</v>
      </c>
      <c r="BJ48" s="50">
        <f>IFERROR(SUMPRODUCT(AssetAssump!$E$6:$E$28,
AssetAssump!$D$6:$D$28,
N(AssetAssump!$B$6:$B$28="Equity")
/
SUMIF(AssetAssump!$B$6:$B$28,"Equity",AssetAssump!$D$6:$D$28)),0)</f>
        <v>8.8400000000022461E-2</v>
      </c>
      <c r="BK48" s="50">
        <f>IFERROR(SUMPRODUCT(AssetAssump!$E$6:$E$28,
AssetAssump!$D$6:$D$28,
N(AssetAssump!$B$6:$B$28="Equity")
/
SUMIF(AssetAssump!$B$6:$B$28,"Equity",AssetAssump!$D$6:$D$28)),0)</f>
        <v>8.8400000000022461E-2</v>
      </c>
      <c r="BL48" s="50">
        <f>IFERROR(SUMPRODUCT(AssetAssump!$E$6:$E$28,
AssetAssump!$D$6:$D$28,
N(AssetAssump!$B$6:$B$28="Equity")
/
SUMIF(AssetAssump!$B$6:$B$28,"Equity",AssetAssump!$D$6:$D$28)),0)</f>
        <v>8.8400000000022461E-2</v>
      </c>
      <c r="BM48" s="50">
        <f>IFERROR(SUMPRODUCT(AssetAssump!$E$6:$E$28,
AssetAssump!$D$6:$D$28,
N(AssetAssump!$B$6:$B$28="Equity")
/
SUMIF(AssetAssump!$B$6:$B$28,"Equity",AssetAssump!$D$6:$D$28)),0)</f>
        <v>8.8400000000022461E-2</v>
      </c>
      <c r="BN48" s="50">
        <f>IFERROR(SUMPRODUCT(AssetAssump!$E$6:$E$28,
AssetAssump!$D$6:$D$28,
N(AssetAssump!$B$6:$B$28="Equity")
/
SUMIF(AssetAssump!$B$6:$B$28,"Equity",AssetAssump!$D$6:$D$28)),0)</f>
        <v>8.8400000000022461E-2</v>
      </c>
      <c r="BO48" s="50">
        <f>IFERROR(SUMPRODUCT(AssetAssump!$E$6:$E$28,
AssetAssump!$D$6:$D$28,
N(AssetAssump!$B$6:$B$28="Equity")
/
SUMIF(AssetAssump!$B$6:$B$28,"Equity",AssetAssump!$D$6:$D$28)),0)</f>
        <v>8.8400000000022461E-2</v>
      </c>
      <c r="BP48" s="50">
        <f>IFERROR(SUMPRODUCT(AssetAssump!$E$6:$E$28,
AssetAssump!$D$6:$D$28,
N(AssetAssump!$B$6:$B$28="Equity")
/
SUMIF(AssetAssump!$B$6:$B$28,"Equity",AssetAssump!$D$6:$D$28)),0)</f>
        <v>8.8400000000022461E-2</v>
      </c>
      <c r="BQ48" s="50">
        <f>IFERROR(SUMPRODUCT(AssetAssump!$E$6:$E$28,
AssetAssump!$D$6:$D$28,
N(AssetAssump!$B$6:$B$28="Equity")
/
SUMIF(AssetAssump!$B$6:$B$28,"Equity",AssetAssump!$D$6:$D$28)),0)</f>
        <v>8.8400000000022461E-2</v>
      </c>
      <c r="BR48" s="50">
        <f>IFERROR(SUMPRODUCT(AssetAssump!$E$6:$E$28,
AssetAssump!$D$6:$D$28,
N(AssetAssump!$B$6:$B$28="Equity")
/
SUMIF(AssetAssump!$B$6:$B$28,"Equity",AssetAssump!$D$6:$D$28)),0)</f>
        <v>8.8400000000022461E-2</v>
      </c>
      <c r="BS48" s="50">
        <f>IFERROR(SUMPRODUCT(AssetAssump!$E$6:$E$28,
AssetAssump!$D$6:$D$28,
N(AssetAssump!$B$6:$B$28="Equity")
/
SUMIF(AssetAssump!$B$6:$B$28,"Equity",AssetAssump!$D$6:$D$28)),0)</f>
        <v>8.8400000000022461E-2</v>
      </c>
      <c r="BT48" s="50">
        <f>IFERROR(SUMPRODUCT(AssetAssump!$E$6:$E$28,
AssetAssump!$D$6:$D$28,
N(AssetAssump!$B$6:$B$28="Equity")
/
SUMIF(AssetAssump!$B$6:$B$28,"Equity",AssetAssump!$D$6:$D$28)),0)</f>
        <v>8.8400000000022461E-2</v>
      </c>
      <c r="BU48" s="50">
        <f>IFERROR(SUMPRODUCT(AssetAssump!$E$6:$E$28,
AssetAssump!$D$6:$D$28,
N(AssetAssump!$B$6:$B$28="Equity")
/
SUMIF(AssetAssump!$B$6:$B$28,"Equity",AssetAssump!$D$6:$D$28)),0)</f>
        <v>8.8400000000022461E-2</v>
      </c>
      <c r="BV48" s="50">
        <f>IFERROR(SUMPRODUCT(AssetAssump!$E$6:$E$28,
AssetAssump!$D$6:$D$28,
N(AssetAssump!$B$6:$B$28="Equity")
/
SUMIF(AssetAssump!$B$6:$B$28,"Equity",AssetAssump!$D$6:$D$28)),0)</f>
        <v>8.8400000000022461E-2</v>
      </c>
      <c r="BW48" s="50">
        <f>IFERROR(SUMPRODUCT(AssetAssump!$E$6:$E$28,
AssetAssump!$D$6:$D$28,
N(AssetAssump!$B$6:$B$28="Equity")
/
SUMIF(AssetAssump!$B$6:$B$28,"Equity",AssetAssump!$D$6:$D$28)),0)</f>
        <v>8.8400000000022461E-2</v>
      </c>
      <c r="BX48" s="50">
        <f>IFERROR(SUMPRODUCT(AssetAssump!$E$6:$E$28,
AssetAssump!$D$6:$D$28,
N(AssetAssump!$B$6:$B$28="Equity")
/
SUMIF(AssetAssump!$B$6:$B$28,"Equity",AssetAssump!$D$6:$D$28)),0)</f>
        <v>8.8400000000022461E-2</v>
      </c>
      <c r="BY48" s="50">
        <f>IFERROR(SUMPRODUCT(AssetAssump!$E$6:$E$28,
AssetAssump!$D$6:$D$28,
N(AssetAssump!$B$6:$B$28="Equity")
/
SUMIF(AssetAssump!$B$6:$B$28,"Equity",AssetAssump!$D$6:$D$28)),0)</f>
        <v>8.8400000000022461E-2</v>
      </c>
      <c r="BZ48" s="50">
        <f>IFERROR(SUMPRODUCT(AssetAssump!$E$6:$E$28,
AssetAssump!$D$6:$D$28,
N(AssetAssump!$B$6:$B$28="Equity")
/
SUMIF(AssetAssump!$B$6:$B$28,"Equity",AssetAssump!$D$6:$D$28)),0)</f>
        <v>8.8400000000022461E-2</v>
      </c>
      <c r="CA48" s="50">
        <f>IFERROR(SUMPRODUCT(AssetAssump!$E$6:$E$28,
AssetAssump!$D$6:$D$28,
N(AssetAssump!$B$6:$B$28="Equity")
/
SUMIF(AssetAssump!$B$6:$B$28,"Equity",AssetAssump!$D$6:$D$28)),0)</f>
        <v>8.8400000000022461E-2</v>
      </c>
      <c r="CB48" s="50">
        <f>IFERROR(SUMPRODUCT(AssetAssump!$E$6:$E$28,
AssetAssump!$D$6:$D$28,
N(AssetAssump!$B$6:$B$28="Equity")
/
SUMIF(AssetAssump!$B$6:$B$28,"Equity",AssetAssump!$D$6:$D$28)),0)</f>
        <v>8.8400000000022461E-2</v>
      </c>
      <c r="CC48" s="50">
        <f>IFERROR(SUMPRODUCT(AssetAssump!$E$6:$E$28,
AssetAssump!$D$6:$D$28,
N(AssetAssump!$B$6:$B$28="Equity")
/
SUMIF(AssetAssump!$B$6:$B$28,"Equity",AssetAssump!$D$6:$D$28)),0)</f>
        <v>8.8400000000022461E-2</v>
      </c>
      <c r="CD48" s="50">
        <f>IFERROR(SUMPRODUCT(AssetAssump!$E$6:$E$28,
AssetAssump!$D$6:$D$28,
N(AssetAssump!$B$6:$B$28="Equity")
/
SUMIF(AssetAssump!$B$6:$B$28,"Equity",AssetAssump!$D$6:$D$28)),0)</f>
        <v>8.8400000000022461E-2</v>
      </c>
      <c r="CE48" s="50">
        <f>IFERROR(SUMPRODUCT(AssetAssump!$E$6:$E$28,
AssetAssump!$D$6:$D$28,
N(AssetAssump!$B$6:$B$28="Equity")
/
SUMIF(AssetAssump!$B$6:$B$28,"Equity",AssetAssump!$D$6:$D$28)),0)</f>
        <v>8.8400000000022461E-2</v>
      </c>
      <c r="CF48" s="50">
        <f>IFERROR(SUMPRODUCT(AssetAssump!$E$6:$E$28,
AssetAssump!$D$6:$D$28,
N(AssetAssump!$B$6:$B$28="Equity")
/
SUMIF(AssetAssump!$B$6:$B$28,"Equity",AssetAssump!$D$6:$D$28)),0)</f>
        <v>8.8400000000022461E-2</v>
      </c>
      <c r="CG48" s="50">
        <f>IFERROR(SUMPRODUCT(AssetAssump!$E$6:$E$28,
AssetAssump!$D$6:$D$28,
N(AssetAssump!$B$6:$B$28="Equity")
/
SUMIF(AssetAssump!$B$6:$B$28,"Equity",AssetAssump!$D$6:$D$28)),0)</f>
        <v>8.8400000000022461E-2</v>
      </c>
      <c r="CH48" s="50">
        <f>IFERROR(SUMPRODUCT(AssetAssump!$E$6:$E$28,
AssetAssump!$D$6:$D$28,
N(AssetAssump!$B$6:$B$28="Equity")
/
SUMIF(AssetAssump!$B$6:$B$28,"Equity",AssetAssump!$D$6:$D$28)),0)</f>
        <v>8.8400000000022461E-2</v>
      </c>
      <c r="CI48" s="50">
        <f>IFERROR(SUMPRODUCT(AssetAssump!$E$6:$E$28,
AssetAssump!$D$6:$D$28,
N(AssetAssump!$B$6:$B$28="Equity")
/
SUMIF(AssetAssump!$B$6:$B$28,"Equity",AssetAssump!$D$6:$D$28)),0)</f>
        <v>8.8400000000022461E-2</v>
      </c>
      <c r="CJ48" s="50">
        <f>IFERROR(SUMPRODUCT(AssetAssump!$E$6:$E$28,
AssetAssump!$D$6:$D$28,
N(AssetAssump!$B$6:$B$28="Equity")
/
SUMIF(AssetAssump!$B$6:$B$28,"Equity",AssetAssump!$D$6:$D$28)),0)</f>
        <v>8.8400000000022461E-2</v>
      </c>
      <c r="CK48" s="50">
        <f>IFERROR(SUMPRODUCT(AssetAssump!$E$6:$E$28,
AssetAssump!$D$6:$D$28,
N(AssetAssump!$B$6:$B$28="Equity")
/
SUMIF(AssetAssump!$B$6:$B$28,"Equity",AssetAssump!$D$6:$D$28)),0)</f>
        <v>8.8400000000022461E-2</v>
      </c>
      <c r="CL48" s="50">
        <f>IFERROR(SUMPRODUCT(AssetAssump!$E$6:$E$28,
AssetAssump!$D$6:$D$28,
N(AssetAssump!$B$6:$B$28="Equity")
/
SUMIF(AssetAssump!$B$6:$B$28,"Equity",AssetAssump!$D$6:$D$28)),0)</f>
        <v>8.8400000000022461E-2</v>
      </c>
      <c r="CM48" s="50">
        <f>IFERROR(SUMPRODUCT(AssetAssump!$E$6:$E$28,
AssetAssump!$D$6:$D$28,
N(AssetAssump!$B$6:$B$28="Equity")
/
SUMIF(AssetAssump!$B$6:$B$28,"Equity",AssetAssump!$D$6:$D$28)),0)</f>
        <v>8.8400000000022461E-2</v>
      </c>
      <c r="CN48" s="50">
        <f>IFERROR(SUMPRODUCT(AssetAssump!$E$6:$E$28,
AssetAssump!$D$6:$D$28,
N(AssetAssump!$B$6:$B$28="Equity")
/
SUMIF(AssetAssump!$B$6:$B$28,"Equity",AssetAssump!$D$6:$D$28)),0)</f>
        <v>8.8400000000022461E-2</v>
      </c>
      <c r="CO48" s="50">
        <f>IFERROR(SUMPRODUCT(AssetAssump!$E$6:$E$28,
AssetAssump!$D$6:$D$28,
N(AssetAssump!$B$6:$B$28="Equity")
/
SUMIF(AssetAssump!$B$6:$B$28,"Equity",AssetAssump!$D$6:$D$28)),0)</f>
        <v>8.8400000000022461E-2</v>
      </c>
      <c r="CP48" s="50">
        <f>IFERROR(SUMPRODUCT(AssetAssump!$E$6:$E$28,
AssetAssump!$D$6:$D$28,
N(AssetAssump!$B$6:$B$28="Equity")
/
SUMIF(AssetAssump!$B$6:$B$28,"Equity",AssetAssump!$D$6:$D$28)),0)</f>
        <v>8.8400000000022461E-2</v>
      </c>
      <c r="CQ48" s="50">
        <f>IFERROR(SUMPRODUCT(AssetAssump!$E$6:$E$28,
AssetAssump!$D$6:$D$28,
N(AssetAssump!$B$6:$B$28="Equity")
/
SUMIF(AssetAssump!$B$6:$B$28,"Equity",AssetAssump!$D$6:$D$28)),0)</f>
        <v>8.8400000000022461E-2</v>
      </c>
      <c r="CR48" s="50">
        <f>IFERROR(SUMPRODUCT(AssetAssump!$E$6:$E$28,
AssetAssump!$D$6:$D$28,
N(AssetAssump!$B$6:$B$28="Equity")
/
SUMIF(AssetAssump!$B$6:$B$28,"Equity",AssetAssump!$D$6:$D$28)),0)</f>
        <v>8.8400000000022461E-2</v>
      </c>
      <c r="CS48" s="50">
        <f>IFERROR(SUMPRODUCT(AssetAssump!$E$6:$E$28,
AssetAssump!$D$6:$D$28,
N(AssetAssump!$B$6:$B$28="Equity")
/
SUMIF(AssetAssump!$B$6:$B$28,"Equity",AssetAssump!$D$6:$D$28)),0)</f>
        <v>8.8400000000022461E-2</v>
      </c>
      <c r="CT48" s="50">
        <f>IFERROR(SUMPRODUCT(AssetAssump!$E$6:$E$28,
AssetAssump!$D$6:$D$28,
N(AssetAssump!$B$6:$B$28="Equity")
/
SUMIF(AssetAssump!$B$6:$B$28,"Equity",AssetAssump!$D$6:$D$28)),0)</f>
        <v>8.8400000000022461E-2</v>
      </c>
      <c r="CU48" s="50">
        <f>IFERROR(SUMPRODUCT(AssetAssump!$E$6:$E$28,
AssetAssump!$D$6:$D$28,
N(AssetAssump!$B$6:$B$28="Equity")
/
SUMIF(AssetAssump!$B$6:$B$28,"Equity",AssetAssump!$D$6:$D$28)),0)</f>
        <v>8.8400000000022461E-2</v>
      </c>
      <c r="CV48" s="50">
        <f>IFERROR(SUMPRODUCT(AssetAssump!$E$6:$E$28,
AssetAssump!$D$6:$D$28,
N(AssetAssump!$B$6:$B$28="Equity")
/
SUMIF(AssetAssump!$B$6:$B$28,"Equity",AssetAssump!$D$6:$D$28)),0)</f>
        <v>8.8400000000022461E-2</v>
      </c>
      <c r="CW48" s="50">
        <f>IFERROR(SUMPRODUCT(AssetAssump!$E$6:$E$28,
AssetAssump!$D$6:$D$28,
N(AssetAssump!$B$6:$B$28="Equity")
/
SUMIF(AssetAssump!$B$6:$B$28,"Equity",AssetAssump!$D$6:$D$28)),0)</f>
        <v>8.8400000000022461E-2</v>
      </c>
      <c r="CX48" s="50">
        <f>IFERROR(SUMPRODUCT(AssetAssump!$E$6:$E$28,
AssetAssump!$D$6:$D$28,
N(AssetAssump!$B$6:$B$28="Equity")
/
SUMIF(AssetAssump!$B$6:$B$28,"Equity",AssetAssump!$D$6:$D$28)),0)</f>
        <v>8.8400000000022461E-2</v>
      </c>
      <c r="CY48" s="50">
        <f>IFERROR(SUMPRODUCT(AssetAssump!$E$6:$E$28,
AssetAssump!$D$6:$D$28,
N(AssetAssump!$B$6:$B$28="Equity")
/
SUMIF(AssetAssump!$B$6:$B$28,"Equity",AssetAssump!$D$6:$D$28)),0)</f>
        <v>8.8400000000022461E-2</v>
      </c>
      <c r="CZ48" s="50">
        <f>IFERROR(SUMPRODUCT(AssetAssump!$E$6:$E$28,
AssetAssump!$D$6:$D$28,
N(AssetAssump!$B$6:$B$28="Equity")
/
SUMIF(AssetAssump!$B$6:$B$28,"Equity",AssetAssump!$D$6:$D$28)),0)</f>
        <v>8.8400000000022461E-2</v>
      </c>
      <c r="DA48" s="50">
        <f>IFERROR(SUMPRODUCT(AssetAssump!$E$6:$E$28,
AssetAssump!$D$6:$D$28,
N(AssetAssump!$B$6:$B$28="Equity")
/
SUMIF(AssetAssump!$B$6:$B$28,"Equity",AssetAssump!$D$6:$D$28)),0)</f>
        <v>8.8400000000022461E-2</v>
      </c>
      <c r="DB48" s="50">
        <f>IFERROR(SUMPRODUCT(AssetAssump!$E$6:$E$28,
AssetAssump!$D$6:$D$28,
N(AssetAssump!$B$6:$B$28="Equity")
/
SUMIF(AssetAssump!$B$6:$B$28,"Equity",AssetAssump!$D$6:$D$28)),0)</f>
        <v>8.8400000000022461E-2</v>
      </c>
      <c r="DC48" s="50">
        <f>IFERROR(SUMPRODUCT(AssetAssump!$E$6:$E$28,
AssetAssump!$D$6:$D$28,
N(AssetAssump!$B$6:$B$28="Equity")
/
SUMIF(AssetAssump!$B$6:$B$28,"Equity",AssetAssump!$D$6:$D$28)),0)</f>
        <v>8.8400000000022461E-2</v>
      </c>
      <c r="DD48" s="50">
        <f>IFERROR(SUMPRODUCT(AssetAssump!$E$6:$E$28,
AssetAssump!$D$6:$D$28,
N(AssetAssump!$B$6:$B$28="Equity")
/
SUMIF(AssetAssump!$B$6:$B$28,"Equity",AssetAssump!$D$6:$D$28)),0)</f>
        <v>8.8400000000022461E-2</v>
      </c>
      <c r="DE48" s="50">
        <f>IFERROR(SUMPRODUCT(AssetAssump!$E$6:$E$28,
AssetAssump!$D$6:$D$28,
N(AssetAssump!$B$6:$B$28="Equity")
/
SUMIF(AssetAssump!$B$6:$B$28,"Equity",AssetAssump!$D$6:$D$28)),0)</f>
        <v>8.8400000000022461E-2</v>
      </c>
      <c r="DF48" s="50">
        <f>IFERROR(SUMPRODUCT(AssetAssump!$E$6:$E$28,
AssetAssump!$D$6:$D$28,
N(AssetAssump!$B$6:$B$28="Equity")
/
SUMIF(AssetAssump!$B$6:$B$28,"Equity",AssetAssump!$D$6:$D$28)),0)</f>
        <v>8.8400000000022461E-2</v>
      </c>
      <c r="DG48" s="50">
        <f>IFERROR(SUMPRODUCT(AssetAssump!$E$6:$E$28,
AssetAssump!$D$6:$D$28,
N(AssetAssump!$B$6:$B$28="Equity")
/
SUMIF(AssetAssump!$B$6:$B$28,"Equity",AssetAssump!$D$6:$D$28)),0)</f>
        <v>8.8400000000022461E-2</v>
      </c>
      <c r="DH48" s="50">
        <f>IFERROR(SUMPRODUCT(AssetAssump!$E$6:$E$28,
AssetAssump!$D$6:$D$28,
N(AssetAssump!$B$6:$B$28="Equity")
/
SUMIF(AssetAssump!$B$6:$B$28,"Equity",AssetAssump!$D$6:$D$28)),0)</f>
        <v>8.8400000000022461E-2</v>
      </c>
      <c r="DI48" s="50">
        <f>IFERROR(SUMPRODUCT(AssetAssump!$E$6:$E$28,
AssetAssump!$D$6:$D$28,
N(AssetAssump!$B$6:$B$28="Equity")
/
SUMIF(AssetAssump!$B$6:$B$28,"Equity",AssetAssump!$D$6:$D$28)),0)</f>
        <v>8.8400000000022461E-2</v>
      </c>
      <c r="DJ48" s="50">
        <f>IFERROR(SUMPRODUCT(AssetAssump!$E$6:$E$28,
AssetAssump!$D$6:$D$28,
N(AssetAssump!$B$6:$B$28="Equity")
/
SUMIF(AssetAssump!$B$6:$B$28,"Equity",AssetAssump!$D$6:$D$28)),0)</f>
        <v>8.8400000000022461E-2</v>
      </c>
      <c r="DK48" s="50">
        <f>IFERROR(SUMPRODUCT(AssetAssump!$E$6:$E$28,
AssetAssump!$D$6:$D$28,
N(AssetAssump!$B$6:$B$28="Equity")
/
SUMIF(AssetAssump!$B$6:$B$28,"Equity",AssetAssump!$D$6:$D$28)),0)</f>
        <v>8.8400000000022461E-2</v>
      </c>
      <c r="DL48" s="50">
        <f>IFERROR(SUMPRODUCT(AssetAssump!$E$6:$E$28,
AssetAssump!$D$6:$D$28,
N(AssetAssump!$B$6:$B$28="Equity")
/
SUMIF(AssetAssump!$B$6:$B$28,"Equity",AssetAssump!$D$6:$D$28)),0)</f>
        <v>8.8400000000022461E-2</v>
      </c>
      <c r="DM48" s="50">
        <f>IFERROR(SUMPRODUCT(AssetAssump!$E$6:$E$28,
AssetAssump!$D$6:$D$28,
N(AssetAssump!$B$6:$B$28="Equity")
/
SUMIF(AssetAssump!$B$6:$B$28,"Equity",AssetAssump!$D$6:$D$28)),0)</f>
        <v>8.8400000000022461E-2</v>
      </c>
      <c r="DN48" s="50">
        <f>IFERROR(SUMPRODUCT(AssetAssump!$E$6:$E$28,
AssetAssump!$D$6:$D$28,
N(AssetAssump!$B$6:$B$28="Equity")
/
SUMIF(AssetAssump!$B$6:$B$28,"Equity",AssetAssump!$D$6:$D$28)),0)</f>
        <v>8.8400000000022461E-2</v>
      </c>
      <c r="DO48" s="50">
        <f>IFERROR(SUMPRODUCT(AssetAssump!$E$6:$E$28,
AssetAssump!$D$6:$D$28,
N(AssetAssump!$B$6:$B$28="Equity")
/
SUMIF(AssetAssump!$B$6:$B$28,"Equity",AssetAssump!$D$6:$D$28)),0)</f>
        <v>8.8400000000022461E-2</v>
      </c>
      <c r="DP48" s="50">
        <f>IFERROR(SUMPRODUCT(AssetAssump!$E$6:$E$28,
AssetAssump!$D$6:$D$28,
N(AssetAssump!$B$6:$B$28="Equity")
/
SUMIF(AssetAssump!$B$6:$B$28,"Equity",AssetAssump!$D$6:$D$28)),0)</f>
        <v>8.8400000000022461E-2</v>
      </c>
      <c r="DQ48" s="50">
        <f>IFERROR(SUMPRODUCT(AssetAssump!$E$6:$E$28,
AssetAssump!$D$6:$D$28,
N(AssetAssump!$B$6:$B$28="Equity")
/
SUMIF(AssetAssump!$B$6:$B$28,"Equity",AssetAssump!$D$6:$D$28)),0)</f>
        <v>8.8400000000022461E-2</v>
      </c>
      <c r="DR48" s="50">
        <f>IFERROR(SUMPRODUCT(AssetAssump!$E$6:$E$28,
AssetAssump!$D$6:$D$28,
N(AssetAssump!$B$6:$B$28="Equity")
/
SUMIF(AssetAssump!$B$6:$B$28,"Equity",AssetAssump!$D$6:$D$28)),0)</f>
        <v>8.8400000000022461E-2</v>
      </c>
      <c r="DS48" s="50">
        <f>IFERROR(SUMPRODUCT(AssetAssump!$E$6:$E$28,
AssetAssump!$D$6:$D$28,
N(AssetAssump!$B$6:$B$28="Equity")
/
SUMIF(AssetAssump!$B$6:$B$28,"Equity",AssetAssump!$D$6:$D$28)),0)</f>
        <v>8.8400000000022461E-2</v>
      </c>
      <c r="DT48" s="50">
        <f>IFERROR(SUMPRODUCT(AssetAssump!$E$6:$E$28,
AssetAssump!$D$6:$D$28,
N(AssetAssump!$B$6:$B$28="Equity")
/
SUMIF(AssetAssump!$B$6:$B$28,"Equity",AssetAssump!$D$6:$D$28)),0)</f>
        <v>8.8400000000022461E-2</v>
      </c>
      <c r="DU48" s="50">
        <f>IFERROR(SUMPRODUCT(AssetAssump!$E$6:$E$28,
AssetAssump!$D$6:$D$28,
N(AssetAssump!$B$6:$B$28="Equity")
/
SUMIF(AssetAssump!$B$6:$B$28,"Equity",AssetAssump!$D$6:$D$28)),0)</f>
        <v>8.8400000000022461E-2</v>
      </c>
      <c r="DV48" s="50">
        <f>IFERROR(SUMPRODUCT(AssetAssump!$E$6:$E$28,
AssetAssump!$D$6:$D$28,
N(AssetAssump!$B$6:$B$28="Equity")
/
SUMIF(AssetAssump!$B$6:$B$28,"Equity",AssetAssump!$D$6:$D$28)),0)</f>
        <v>8.8400000000022461E-2</v>
      </c>
      <c r="DW48" s="50">
        <f>IFERROR(SUMPRODUCT(AssetAssump!$E$6:$E$28,
AssetAssump!$D$6:$D$28,
N(AssetAssump!$B$6:$B$28="Equity")
/
SUMIF(AssetAssump!$B$6:$B$28,"Equity",AssetAssump!$D$6:$D$28)),0)</f>
        <v>8.8400000000022461E-2</v>
      </c>
      <c r="DX48" s="50">
        <f>IFERROR(SUMPRODUCT(AssetAssump!$E$6:$E$28,
AssetAssump!$D$6:$D$28,
N(AssetAssump!$B$6:$B$28="Equity")
/
SUMIF(AssetAssump!$B$6:$B$28,"Equity",AssetAssump!$D$6:$D$28)),0)</f>
        <v>8.8400000000022461E-2</v>
      </c>
      <c r="DY48" s="50">
        <f>IFERROR(SUMPRODUCT(AssetAssump!$E$6:$E$28,
AssetAssump!$D$6:$D$28,
N(AssetAssump!$B$6:$B$28="Equity")
/
SUMIF(AssetAssump!$B$6:$B$28,"Equity",AssetAssump!$D$6:$D$28)),0)</f>
        <v>8.8400000000022461E-2</v>
      </c>
      <c r="DZ48" s="50">
        <f>IFERROR(SUMPRODUCT(AssetAssump!$E$6:$E$28,
AssetAssump!$D$6:$D$28,
N(AssetAssump!$B$6:$B$28="Equity")
/
SUMIF(AssetAssump!$B$6:$B$28,"Equity",AssetAssump!$D$6:$D$28)),0)</f>
        <v>8.8400000000022461E-2</v>
      </c>
      <c r="EA48" s="50">
        <f>IFERROR(SUMPRODUCT(AssetAssump!$E$6:$E$28,
AssetAssump!$D$6:$D$28,
N(AssetAssump!$B$6:$B$28="Equity")
/
SUMIF(AssetAssump!$B$6:$B$28,"Equity",AssetAssump!$D$6:$D$28)),0)</f>
        <v>8.8400000000022461E-2</v>
      </c>
      <c r="EB48" s="50">
        <f>IFERROR(SUMPRODUCT(AssetAssump!$E$6:$E$28,
AssetAssump!$D$6:$D$28,
N(AssetAssump!$B$6:$B$28="Equity")
/
SUMIF(AssetAssump!$B$6:$B$28,"Equity",AssetAssump!$D$6:$D$28)),0)</f>
        <v>8.8400000000022461E-2</v>
      </c>
      <c r="EC48" s="50">
        <f>IFERROR(SUMPRODUCT(AssetAssump!$E$6:$E$28,
AssetAssump!$D$6:$D$28,
N(AssetAssump!$B$6:$B$28="Equity")
/
SUMIF(AssetAssump!$B$6:$B$28,"Equity",AssetAssump!$D$6:$D$28)),0)</f>
        <v>8.8400000000022461E-2</v>
      </c>
      <c r="ED48" s="50">
        <f>IFERROR(SUMPRODUCT(AssetAssump!$E$6:$E$28,
AssetAssump!$D$6:$D$28,
N(AssetAssump!$B$6:$B$28="Equity")
/
SUMIF(AssetAssump!$B$6:$B$28,"Equity",AssetAssump!$D$6:$D$28)),0)</f>
        <v>8.8400000000022461E-2</v>
      </c>
      <c r="EE48" s="50">
        <f>IFERROR(SUMPRODUCT(AssetAssump!$E$6:$E$28,
AssetAssump!$D$6:$D$28,
N(AssetAssump!$B$6:$B$28="Equity")
/
SUMIF(AssetAssump!$B$6:$B$28,"Equity",AssetAssump!$D$6:$D$28)),0)</f>
        <v>8.8400000000022461E-2</v>
      </c>
      <c r="EF48" s="50">
        <f>IFERROR(SUMPRODUCT(AssetAssump!$E$6:$E$28,
AssetAssump!$D$6:$D$28,
N(AssetAssump!$B$6:$B$28="Equity")
/
SUMIF(AssetAssump!$B$6:$B$28,"Equity",AssetAssump!$D$6:$D$28)),0)</f>
        <v>8.8400000000022461E-2</v>
      </c>
      <c r="EG48" s="50">
        <f>IFERROR(SUMPRODUCT(AssetAssump!$E$6:$E$28,
AssetAssump!$D$6:$D$28,
N(AssetAssump!$B$6:$B$28="Equity")
/
SUMIF(AssetAssump!$B$6:$B$28,"Equity",AssetAssump!$D$6:$D$28)),0)</f>
        <v>8.8400000000022461E-2</v>
      </c>
      <c r="EH48" s="50">
        <f>IFERROR(SUMPRODUCT(AssetAssump!$E$6:$E$28,
AssetAssump!$D$6:$D$28,
N(AssetAssump!$B$6:$B$28="Equity")
/
SUMIF(AssetAssump!$B$6:$B$28,"Equity",AssetAssump!$D$6:$D$28)),0)</f>
        <v>8.8400000000022461E-2</v>
      </c>
      <c r="EI48" s="50">
        <f>IFERROR(SUMPRODUCT(AssetAssump!$E$6:$E$28,
AssetAssump!$D$6:$D$28,
N(AssetAssump!$B$6:$B$28="Equity")
/
SUMIF(AssetAssump!$B$6:$B$28,"Equity",AssetAssump!$D$6:$D$28)),0)</f>
        <v>8.8400000000022461E-2</v>
      </c>
      <c r="EJ48" s="50">
        <f>IFERROR(SUMPRODUCT(AssetAssump!$E$6:$E$28,
AssetAssump!$D$6:$D$28,
N(AssetAssump!$B$6:$B$28="Equity")
/
SUMIF(AssetAssump!$B$6:$B$28,"Equity",AssetAssump!$D$6:$D$28)),0)</f>
        <v>8.8400000000022461E-2</v>
      </c>
      <c r="EK48" s="50">
        <f>IFERROR(SUMPRODUCT(AssetAssump!$E$6:$E$28,
AssetAssump!$D$6:$D$28,
N(AssetAssump!$B$6:$B$28="Equity")
/
SUMIF(AssetAssump!$B$6:$B$28,"Equity",AssetAssump!$D$6:$D$28)),0)</f>
        <v>8.8400000000022461E-2</v>
      </c>
      <c r="EL48" s="50">
        <f>IFERROR(SUMPRODUCT(AssetAssump!$E$6:$E$28,
AssetAssump!$D$6:$D$28,
N(AssetAssump!$B$6:$B$28="Equity")
/
SUMIF(AssetAssump!$B$6:$B$28,"Equity",AssetAssump!$D$6:$D$28)),0)</f>
        <v>8.8400000000022461E-2</v>
      </c>
    </row>
    <row r="49" spans="2:142" ht="15.75" customHeight="1">
      <c r="B49" s="51" t="s">
        <v>28</v>
      </c>
      <c r="C49" s="50">
        <f>IFERROR(SUMPRODUCT(AssetAssump!$E$6:$E$28,
AssetAssump!$D$6:$D$28,
N(AssetAssump!$B$6:$B$28="Alternatives")
/
SUMIF(AssetAssump!$B$6:$B$28,"Alternatives",AssetAssump!$D$6:$D$28)),0)</f>
        <v>9.3480000000000008E-2</v>
      </c>
      <c r="D49" s="50">
        <f>IFERROR(SUMPRODUCT(AssetAssump!$E$6:$E$28,
AssetAssump!$D$6:$D$28,
N(AssetAssump!$B$6:$B$28="Alternatives")
/
SUMIF(AssetAssump!$B$6:$B$28,"Alternatives",AssetAssump!$D$6:$D$28)),0)</f>
        <v>9.3480000000000008E-2</v>
      </c>
      <c r="E49" s="50">
        <f>IFERROR(SUMPRODUCT(AssetAssump!$E$6:$E$28,
AssetAssump!$D$6:$D$28,
N(AssetAssump!$B$6:$B$28="Alternatives")
/
SUMIF(AssetAssump!$B$6:$B$28,"Alternatives",AssetAssump!$D$6:$D$28)),0)</f>
        <v>9.3480000000000008E-2</v>
      </c>
      <c r="F49" s="50">
        <f>IFERROR(SUMPRODUCT(AssetAssump!$E$6:$E$28,
AssetAssump!$D$6:$D$28,
N(AssetAssump!$B$6:$B$28="Alternatives")
/
SUMIF(AssetAssump!$B$6:$B$28,"Alternatives",AssetAssump!$D$6:$D$28)),0)</f>
        <v>9.3480000000000008E-2</v>
      </c>
      <c r="G49" s="50">
        <f>IFERROR(SUMPRODUCT(AssetAssump!$E$6:$E$28,
AssetAssump!$D$6:$D$28,
N(AssetAssump!$B$6:$B$28="Alternatives")
/
SUMIF(AssetAssump!$B$6:$B$28,"Alternatives",AssetAssump!$D$6:$D$28)),0)</f>
        <v>9.3480000000000008E-2</v>
      </c>
      <c r="H49" s="50">
        <f>IFERROR(SUMPRODUCT(AssetAssump!$E$6:$E$28,
AssetAssump!$D$6:$D$28,
N(AssetAssump!$B$6:$B$28="Alternatives")
/
SUMIF(AssetAssump!$B$6:$B$28,"Alternatives",AssetAssump!$D$6:$D$28)),0)</f>
        <v>9.3480000000000008E-2</v>
      </c>
      <c r="I49" s="50">
        <f>IFERROR(SUMPRODUCT(AssetAssump!$E$6:$E$28,
AssetAssump!$D$6:$D$28,
N(AssetAssump!$B$6:$B$28="Alternatives")
/
SUMIF(AssetAssump!$B$6:$B$28,"Alternatives",AssetAssump!$D$6:$D$28)),0)</f>
        <v>9.3480000000000008E-2</v>
      </c>
      <c r="J49" s="50">
        <f>IFERROR(SUMPRODUCT(AssetAssump!$E$6:$E$28,
AssetAssump!$D$6:$D$28,
N(AssetAssump!$B$6:$B$28="Alternatives")
/
SUMIF(AssetAssump!$B$6:$B$28,"Alternatives",AssetAssump!$D$6:$D$28)),0)</f>
        <v>9.3480000000000008E-2</v>
      </c>
      <c r="K49" s="50">
        <f>IFERROR(SUMPRODUCT(AssetAssump!$E$6:$E$28,
AssetAssump!$D$6:$D$28,
N(AssetAssump!$B$6:$B$28="Alternatives")
/
SUMIF(AssetAssump!$B$6:$B$28,"Alternatives",AssetAssump!$D$6:$D$28)),0)</f>
        <v>9.3480000000000008E-2</v>
      </c>
      <c r="L49" s="50">
        <f>IFERROR(SUMPRODUCT(AssetAssump!$E$6:$E$28,
AssetAssump!$D$6:$D$28,
N(AssetAssump!$B$6:$B$28="Alternatives")
/
SUMIF(AssetAssump!$B$6:$B$28,"Alternatives",AssetAssump!$D$6:$D$28)),0)</f>
        <v>9.3480000000000008E-2</v>
      </c>
      <c r="M49" s="50">
        <f>IFERROR(SUMPRODUCT(AssetAssump!$E$6:$E$28,
AssetAssump!$D$6:$D$28,
N(AssetAssump!$B$6:$B$28="Alternatives")
/
SUMIF(AssetAssump!$B$6:$B$28,"Alternatives",AssetAssump!$D$6:$D$28)),0)</f>
        <v>9.3480000000000008E-2</v>
      </c>
      <c r="N49" s="50">
        <f>IFERROR(SUMPRODUCT(AssetAssump!$E$6:$E$28,
AssetAssump!$D$6:$D$28,
N(AssetAssump!$B$6:$B$28="Alternatives")
/
SUMIF(AssetAssump!$B$6:$B$28,"Alternatives",AssetAssump!$D$6:$D$28)),0)</f>
        <v>9.3480000000000008E-2</v>
      </c>
      <c r="O49" s="50">
        <f>IFERROR(SUMPRODUCT(AssetAssump!$E$6:$E$28,
AssetAssump!$D$6:$D$28,
N(AssetAssump!$B$6:$B$28="Alternatives")
/
SUMIF(AssetAssump!$B$6:$B$28,"Alternatives",AssetAssump!$D$6:$D$28)),0)</f>
        <v>9.3480000000000008E-2</v>
      </c>
      <c r="P49" s="50">
        <f>IFERROR(SUMPRODUCT(AssetAssump!$E$6:$E$28,
AssetAssump!$D$6:$D$28,
N(AssetAssump!$B$6:$B$28="Alternatives")
/
SUMIF(AssetAssump!$B$6:$B$28,"Alternatives",AssetAssump!$D$6:$D$28)),0)</f>
        <v>9.3480000000000008E-2</v>
      </c>
      <c r="Q49" s="50">
        <f>IFERROR(SUMPRODUCT(AssetAssump!$E$6:$E$28,
AssetAssump!$D$6:$D$28,
N(AssetAssump!$B$6:$B$28="Alternatives")
/
SUMIF(AssetAssump!$B$6:$B$28,"Alternatives",AssetAssump!$D$6:$D$28)),0)</f>
        <v>9.3480000000000008E-2</v>
      </c>
      <c r="R49" s="50">
        <f>IFERROR(SUMPRODUCT(AssetAssump!$E$6:$E$28,
AssetAssump!$D$6:$D$28,
N(AssetAssump!$B$6:$B$28="Alternatives")
/
SUMIF(AssetAssump!$B$6:$B$28,"Alternatives",AssetAssump!$D$6:$D$28)),0)</f>
        <v>9.3480000000000008E-2</v>
      </c>
      <c r="S49" s="50">
        <f>IFERROR(SUMPRODUCT(AssetAssump!$E$6:$E$28,
AssetAssump!$D$6:$D$28,
N(AssetAssump!$B$6:$B$28="Alternatives")
/
SUMIF(AssetAssump!$B$6:$B$28,"Alternatives",AssetAssump!$D$6:$D$28)),0)</f>
        <v>9.3480000000000008E-2</v>
      </c>
      <c r="T49" s="50">
        <f>IFERROR(SUMPRODUCT(AssetAssump!$E$6:$E$28,
AssetAssump!$D$6:$D$28,
N(AssetAssump!$B$6:$B$28="Alternatives")
/
SUMIF(AssetAssump!$B$6:$B$28,"Alternatives",AssetAssump!$D$6:$D$28)),0)</f>
        <v>9.3480000000000008E-2</v>
      </c>
      <c r="U49" s="50">
        <f>IFERROR(SUMPRODUCT(AssetAssump!$E$6:$E$28,
AssetAssump!$D$6:$D$28,
N(AssetAssump!$B$6:$B$28="Alternatives")
/
SUMIF(AssetAssump!$B$6:$B$28,"Alternatives",AssetAssump!$D$6:$D$28)),0)</f>
        <v>9.3480000000000008E-2</v>
      </c>
      <c r="V49" s="50">
        <f>IFERROR(SUMPRODUCT(AssetAssump!$E$6:$E$28,
AssetAssump!$D$6:$D$28,
N(AssetAssump!$B$6:$B$28="Alternatives")
/
SUMIF(AssetAssump!$B$6:$B$28,"Alternatives",AssetAssump!$D$6:$D$28)),0)</f>
        <v>9.3480000000000008E-2</v>
      </c>
      <c r="W49" s="50">
        <f>IFERROR(SUMPRODUCT(AssetAssump!$E$6:$E$28,
AssetAssump!$D$6:$D$28,
N(AssetAssump!$B$6:$B$28="Alternatives")
/
SUMIF(AssetAssump!$B$6:$B$28,"Alternatives",AssetAssump!$D$6:$D$28)),0)</f>
        <v>9.3480000000000008E-2</v>
      </c>
      <c r="X49" s="50">
        <f>IFERROR(SUMPRODUCT(AssetAssump!$E$6:$E$28,
AssetAssump!$D$6:$D$28,
N(AssetAssump!$B$6:$B$28="Alternatives")
/
SUMIF(AssetAssump!$B$6:$B$28,"Alternatives",AssetAssump!$D$6:$D$28)),0)</f>
        <v>9.3480000000000008E-2</v>
      </c>
      <c r="Y49" s="50">
        <f>IFERROR(SUMPRODUCT(AssetAssump!$E$6:$E$28,
AssetAssump!$D$6:$D$28,
N(AssetAssump!$B$6:$B$28="Alternatives")
/
SUMIF(AssetAssump!$B$6:$B$28,"Alternatives",AssetAssump!$D$6:$D$28)),0)</f>
        <v>9.3480000000000008E-2</v>
      </c>
      <c r="Z49" s="50">
        <f>IFERROR(SUMPRODUCT(AssetAssump!$E$6:$E$28,
AssetAssump!$D$6:$D$28,
N(AssetAssump!$B$6:$B$28="Alternatives")
/
SUMIF(AssetAssump!$B$6:$B$28,"Alternatives",AssetAssump!$D$6:$D$28)),0)</f>
        <v>9.3480000000000008E-2</v>
      </c>
      <c r="AA49" s="50">
        <f>IFERROR(SUMPRODUCT(AssetAssump!$E$6:$E$28,
AssetAssump!$D$6:$D$28,
N(AssetAssump!$B$6:$B$28="Alternatives")
/
SUMIF(AssetAssump!$B$6:$B$28,"Alternatives",AssetAssump!$D$6:$D$28)),0)</f>
        <v>9.3480000000000008E-2</v>
      </c>
      <c r="AB49" s="50">
        <f>IFERROR(SUMPRODUCT(AssetAssump!$E$6:$E$28,
AssetAssump!$D$6:$D$28,
N(AssetAssump!$B$6:$B$28="Alternatives")
/
SUMIF(AssetAssump!$B$6:$B$28,"Alternatives",AssetAssump!$D$6:$D$28)),0)</f>
        <v>9.3480000000000008E-2</v>
      </c>
      <c r="AC49" s="50">
        <f>IFERROR(SUMPRODUCT(AssetAssump!$E$6:$E$28,
AssetAssump!$D$6:$D$28,
N(AssetAssump!$B$6:$B$28="Alternatives")
/
SUMIF(AssetAssump!$B$6:$B$28,"Alternatives",AssetAssump!$D$6:$D$28)),0)</f>
        <v>9.3480000000000008E-2</v>
      </c>
      <c r="AD49" s="50">
        <f>IFERROR(SUMPRODUCT(AssetAssump!$E$6:$E$28,
AssetAssump!$D$6:$D$28,
N(AssetAssump!$B$6:$B$28="Alternatives")
/
SUMIF(AssetAssump!$B$6:$B$28,"Alternatives",AssetAssump!$D$6:$D$28)),0)</f>
        <v>9.3480000000000008E-2</v>
      </c>
      <c r="AE49" s="50">
        <f>IFERROR(SUMPRODUCT(AssetAssump!$E$6:$E$28,
AssetAssump!$D$6:$D$28,
N(AssetAssump!$B$6:$B$28="Alternatives")
/
SUMIF(AssetAssump!$B$6:$B$28,"Alternatives",AssetAssump!$D$6:$D$28)),0)</f>
        <v>9.3480000000000008E-2</v>
      </c>
      <c r="AF49" s="50">
        <f>IFERROR(SUMPRODUCT(AssetAssump!$E$6:$E$28,
AssetAssump!$D$6:$D$28,
N(AssetAssump!$B$6:$B$28="Alternatives")
/
SUMIF(AssetAssump!$B$6:$B$28,"Alternatives",AssetAssump!$D$6:$D$28)),0)</f>
        <v>9.3480000000000008E-2</v>
      </c>
      <c r="AG49" s="50">
        <f>IFERROR(SUMPRODUCT(AssetAssump!$E$6:$E$28,
AssetAssump!$D$6:$D$28,
N(AssetAssump!$B$6:$B$28="Alternatives")
/
SUMIF(AssetAssump!$B$6:$B$28,"Alternatives",AssetAssump!$D$6:$D$28)),0)</f>
        <v>9.3480000000000008E-2</v>
      </c>
      <c r="AH49" s="50">
        <f>IFERROR(SUMPRODUCT(AssetAssump!$E$6:$E$28,
AssetAssump!$D$6:$D$28,
N(AssetAssump!$B$6:$B$28="Alternatives")
/
SUMIF(AssetAssump!$B$6:$B$28,"Alternatives",AssetAssump!$D$6:$D$28)),0)</f>
        <v>9.3480000000000008E-2</v>
      </c>
      <c r="AI49" s="50">
        <f>IFERROR(SUMPRODUCT(AssetAssump!$E$6:$E$28,
AssetAssump!$D$6:$D$28,
N(AssetAssump!$B$6:$B$28="Alternatives")
/
SUMIF(AssetAssump!$B$6:$B$28,"Alternatives",AssetAssump!$D$6:$D$28)),0)</f>
        <v>9.3480000000000008E-2</v>
      </c>
      <c r="AJ49" s="50">
        <f>IFERROR(SUMPRODUCT(AssetAssump!$E$6:$E$28,
AssetAssump!$D$6:$D$28,
N(AssetAssump!$B$6:$B$28="Alternatives")
/
SUMIF(AssetAssump!$B$6:$B$28,"Alternatives",AssetAssump!$D$6:$D$28)),0)</f>
        <v>9.3480000000000008E-2</v>
      </c>
      <c r="AK49" s="50">
        <f>IFERROR(SUMPRODUCT(AssetAssump!$E$6:$E$28,
AssetAssump!$D$6:$D$28,
N(AssetAssump!$B$6:$B$28="Alternatives")
/
SUMIF(AssetAssump!$B$6:$B$28,"Alternatives",AssetAssump!$D$6:$D$28)),0)</f>
        <v>9.3480000000000008E-2</v>
      </c>
      <c r="AL49" s="50">
        <f>IFERROR(SUMPRODUCT(AssetAssump!$E$6:$E$28,
AssetAssump!$D$6:$D$28,
N(AssetAssump!$B$6:$B$28="Alternatives")
/
SUMIF(AssetAssump!$B$6:$B$28,"Alternatives",AssetAssump!$D$6:$D$28)),0)</f>
        <v>9.3480000000000008E-2</v>
      </c>
      <c r="AM49" s="50">
        <f>IFERROR(SUMPRODUCT(AssetAssump!$E$6:$E$28,
AssetAssump!$D$6:$D$28,
N(AssetAssump!$B$6:$B$28="Alternatives")
/
SUMIF(AssetAssump!$B$6:$B$28,"Alternatives",AssetAssump!$D$6:$D$28)),0)</f>
        <v>9.3480000000000008E-2</v>
      </c>
      <c r="AN49" s="50">
        <f>IFERROR(SUMPRODUCT(AssetAssump!$E$6:$E$28,
AssetAssump!$D$6:$D$28,
N(AssetAssump!$B$6:$B$28="Alternatives")
/
SUMIF(AssetAssump!$B$6:$B$28,"Alternatives",AssetAssump!$D$6:$D$28)),0)</f>
        <v>9.3480000000000008E-2</v>
      </c>
      <c r="AO49" s="50">
        <f>IFERROR(SUMPRODUCT(AssetAssump!$E$6:$E$28,
AssetAssump!$D$6:$D$28,
N(AssetAssump!$B$6:$B$28="Alternatives")
/
SUMIF(AssetAssump!$B$6:$B$28,"Alternatives",AssetAssump!$D$6:$D$28)),0)</f>
        <v>9.3480000000000008E-2</v>
      </c>
      <c r="AP49" s="50">
        <f>IFERROR(SUMPRODUCT(AssetAssump!$E$6:$E$28,
AssetAssump!$D$6:$D$28,
N(AssetAssump!$B$6:$B$28="Alternatives")
/
SUMIF(AssetAssump!$B$6:$B$28,"Alternatives",AssetAssump!$D$6:$D$28)),0)</f>
        <v>9.3480000000000008E-2</v>
      </c>
      <c r="AQ49" s="50">
        <f>IFERROR(SUMPRODUCT(AssetAssump!$E$6:$E$28,
AssetAssump!$D$6:$D$28,
N(AssetAssump!$B$6:$B$28="Alternatives")
/
SUMIF(AssetAssump!$B$6:$B$28,"Alternatives",AssetAssump!$D$6:$D$28)),0)</f>
        <v>9.3480000000000008E-2</v>
      </c>
      <c r="AR49" s="50">
        <f>IFERROR(SUMPRODUCT(AssetAssump!$E$6:$E$28,
AssetAssump!$D$6:$D$28,
N(AssetAssump!$B$6:$B$28="Alternatives")
/
SUMIF(AssetAssump!$B$6:$B$28,"Alternatives",AssetAssump!$D$6:$D$28)),0)</f>
        <v>9.3480000000000008E-2</v>
      </c>
      <c r="AS49" s="50">
        <f>IFERROR(SUMPRODUCT(AssetAssump!$E$6:$E$28,
AssetAssump!$D$6:$D$28,
N(AssetAssump!$B$6:$B$28="Alternatives")
/
SUMIF(AssetAssump!$B$6:$B$28,"Alternatives",AssetAssump!$D$6:$D$28)),0)</f>
        <v>9.3480000000000008E-2</v>
      </c>
      <c r="AT49" s="50">
        <f>IFERROR(SUMPRODUCT(AssetAssump!$E$6:$E$28,
AssetAssump!$D$6:$D$28,
N(AssetAssump!$B$6:$B$28="Alternatives")
/
SUMIF(AssetAssump!$B$6:$B$28,"Alternatives",AssetAssump!$D$6:$D$28)),0)</f>
        <v>9.3480000000000008E-2</v>
      </c>
      <c r="AU49" s="50">
        <f>IFERROR(SUMPRODUCT(AssetAssump!$E$6:$E$28,
AssetAssump!$D$6:$D$28,
N(AssetAssump!$B$6:$B$28="Alternatives")
/
SUMIF(AssetAssump!$B$6:$B$28,"Alternatives",AssetAssump!$D$6:$D$28)),0)</f>
        <v>9.3480000000000008E-2</v>
      </c>
      <c r="AV49" s="50">
        <f>IFERROR(SUMPRODUCT(AssetAssump!$E$6:$E$28,
AssetAssump!$D$6:$D$28,
N(AssetAssump!$B$6:$B$28="Alternatives")
/
SUMIF(AssetAssump!$B$6:$B$28,"Alternatives",AssetAssump!$D$6:$D$28)),0)</f>
        <v>9.3480000000000008E-2</v>
      </c>
      <c r="AW49" s="50">
        <f>IFERROR(SUMPRODUCT(AssetAssump!$E$6:$E$28,
AssetAssump!$D$6:$D$28,
N(AssetAssump!$B$6:$B$28="Alternatives")
/
SUMIF(AssetAssump!$B$6:$B$28,"Alternatives",AssetAssump!$D$6:$D$28)),0)</f>
        <v>9.3480000000000008E-2</v>
      </c>
      <c r="AX49" s="50">
        <f>IFERROR(SUMPRODUCT(AssetAssump!$E$6:$E$28,
AssetAssump!$D$6:$D$28,
N(AssetAssump!$B$6:$B$28="Alternatives")
/
SUMIF(AssetAssump!$B$6:$B$28,"Alternatives",AssetAssump!$D$6:$D$28)),0)</f>
        <v>9.3480000000000008E-2</v>
      </c>
      <c r="AY49" s="50">
        <f>IFERROR(SUMPRODUCT(AssetAssump!$E$6:$E$28,
AssetAssump!$D$6:$D$28,
N(AssetAssump!$B$6:$B$28="Alternatives")
/
SUMIF(AssetAssump!$B$6:$B$28,"Alternatives",AssetAssump!$D$6:$D$28)),0)</f>
        <v>9.3480000000000008E-2</v>
      </c>
      <c r="AZ49" s="50">
        <f>IFERROR(SUMPRODUCT(AssetAssump!$E$6:$E$28,
AssetAssump!$D$6:$D$28,
N(AssetAssump!$B$6:$B$28="Alternatives")
/
SUMIF(AssetAssump!$B$6:$B$28,"Alternatives",AssetAssump!$D$6:$D$28)),0)</f>
        <v>9.3480000000000008E-2</v>
      </c>
      <c r="BA49" s="50">
        <f>IFERROR(SUMPRODUCT(AssetAssump!$E$6:$E$28,
AssetAssump!$D$6:$D$28,
N(AssetAssump!$B$6:$B$28="Alternatives")
/
SUMIF(AssetAssump!$B$6:$B$28,"Alternatives",AssetAssump!$D$6:$D$28)),0)</f>
        <v>9.3480000000000008E-2</v>
      </c>
      <c r="BB49" s="50">
        <f>IFERROR(SUMPRODUCT(AssetAssump!$E$6:$E$28,
AssetAssump!$D$6:$D$28,
N(AssetAssump!$B$6:$B$28="Alternatives")
/
SUMIF(AssetAssump!$B$6:$B$28,"Alternatives",AssetAssump!$D$6:$D$28)),0)</f>
        <v>9.3480000000000008E-2</v>
      </c>
      <c r="BC49" s="50">
        <f>IFERROR(SUMPRODUCT(AssetAssump!$E$6:$E$28,
AssetAssump!$D$6:$D$28,
N(AssetAssump!$B$6:$B$28="Alternatives")
/
SUMIF(AssetAssump!$B$6:$B$28,"Alternatives",AssetAssump!$D$6:$D$28)),0)</f>
        <v>9.3480000000000008E-2</v>
      </c>
      <c r="BD49" s="50">
        <f>IFERROR(SUMPRODUCT(AssetAssump!$E$6:$E$28,
AssetAssump!$D$6:$D$28,
N(AssetAssump!$B$6:$B$28="Alternatives")
/
SUMIF(AssetAssump!$B$6:$B$28,"Alternatives",AssetAssump!$D$6:$D$28)),0)</f>
        <v>9.3480000000000008E-2</v>
      </c>
      <c r="BE49" s="50">
        <f>IFERROR(SUMPRODUCT(AssetAssump!$E$6:$E$28,
AssetAssump!$D$6:$D$28,
N(AssetAssump!$B$6:$B$28="Alternatives")
/
SUMIF(AssetAssump!$B$6:$B$28,"Alternatives",AssetAssump!$D$6:$D$28)),0)</f>
        <v>9.3480000000000008E-2</v>
      </c>
      <c r="BF49" s="50">
        <f>IFERROR(SUMPRODUCT(AssetAssump!$E$6:$E$28,
AssetAssump!$D$6:$D$28,
N(AssetAssump!$B$6:$B$28="Alternatives")
/
SUMIF(AssetAssump!$B$6:$B$28,"Alternatives",AssetAssump!$D$6:$D$28)),0)</f>
        <v>9.3480000000000008E-2</v>
      </c>
      <c r="BG49" s="50">
        <f>IFERROR(SUMPRODUCT(AssetAssump!$E$6:$E$28,
AssetAssump!$D$6:$D$28,
N(AssetAssump!$B$6:$B$28="Alternatives")
/
SUMIF(AssetAssump!$B$6:$B$28,"Alternatives",AssetAssump!$D$6:$D$28)),0)</f>
        <v>9.3480000000000008E-2</v>
      </c>
      <c r="BH49" s="50">
        <f>IFERROR(SUMPRODUCT(AssetAssump!$E$6:$E$28,
AssetAssump!$D$6:$D$28,
N(AssetAssump!$B$6:$B$28="Alternatives")
/
SUMIF(AssetAssump!$B$6:$B$28,"Alternatives",AssetAssump!$D$6:$D$28)),0)</f>
        <v>9.3480000000000008E-2</v>
      </c>
      <c r="BI49" s="50">
        <f>IFERROR(SUMPRODUCT(AssetAssump!$E$6:$E$28,
AssetAssump!$D$6:$D$28,
N(AssetAssump!$B$6:$B$28="Alternatives")
/
SUMIF(AssetAssump!$B$6:$B$28,"Alternatives",AssetAssump!$D$6:$D$28)),0)</f>
        <v>9.3480000000000008E-2</v>
      </c>
      <c r="BJ49" s="50">
        <f>IFERROR(SUMPRODUCT(AssetAssump!$E$6:$E$28,
AssetAssump!$D$6:$D$28,
N(AssetAssump!$B$6:$B$28="Alternatives")
/
SUMIF(AssetAssump!$B$6:$B$28,"Alternatives",AssetAssump!$D$6:$D$28)),0)</f>
        <v>9.3480000000000008E-2</v>
      </c>
      <c r="BK49" s="50">
        <f>IFERROR(SUMPRODUCT(AssetAssump!$E$6:$E$28,
AssetAssump!$D$6:$D$28,
N(AssetAssump!$B$6:$B$28="Alternatives")
/
SUMIF(AssetAssump!$B$6:$B$28,"Alternatives",AssetAssump!$D$6:$D$28)),0)</f>
        <v>9.3480000000000008E-2</v>
      </c>
      <c r="BL49" s="50">
        <f>IFERROR(SUMPRODUCT(AssetAssump!$E$6:$E$28,
AssetAssump!$D$6:$D$28,
N(AssetAssump!$B$6:$B$28="Alternatives")
/
SUMIF(AssetAssump!$B$6:$B$28,"Alternatives",AssetAssump!$D$6:$D$28)),0)</f>
        <v>9.3480000000000008E-2</v>
      </c>
      <c r="BM49" s="50">
        <f>IFERROR(SUMPRODUCT(AssetAssump!$E$6:$E$28,
AssetAssump!$D$6:$D$28,
N(AssetAssump!$B$6:$B$28="Alternatives")
/
SUMIF(AssetAssump!$B$6:$B$28,"Alternatives",AssetAssump!$D$6:$D$28)),0)</f>
        <v>9.3480000000000008E-2</v>
      </c>
      <c r="BN49" s="50">
        <f>IFERROR(SUMPRODUCT(AssetAssump!$E$6:$E$28,
AssetAssump!$D$6:$D$28,
N(AssetAssump!$B$6:$B$28="Alternatives")
/
SUMIF(AssetAssump!$B$6:$B$28,"Alternatives",AssetAssump!$D$6:$D$28)),0)</f>
        <v>9.3480000000000008E-2</v>
      </c>
      <c r="BO49" s="50">
        <f>IFERROR(SUMPRODUCT(AssetAssump!$E$6:$E$28,
AssetAssump!$D$6:$D$28,
N(AssetAssump!$B$6:$B$28="Alternatives")
/
SUMIF(AssetAssump!$B$6:$B$28,"Alternatives",AssetAssump!$D$6:$D$28)),0)</f>
        <v>9.3480000000000008E-2</v>
      </c>
      <c r="BP49" s="50">
        <f>IFERROR(SUMPRODUCT(AssetAssump!$E$6:$E$28,
AssetAssump!$D$6:$D$28,
N(AssetAssump!$B$6:$B$28="Alternatives")
/
SUMIF(AssetAssump!$B$6:$B$28,"Alternatives",AssetAssump!$D$6:$D$28)),0)</f>
        <v>9.3480000000000008E-2</v>
      </c>
      <c r="BQ49" s="50">
        <f>IFERROR(SUMPRODUCT(AssetAssump!$E$6:$E$28,
AssetAssump!$D$6:$D$28,
N(AssetAssump!$B$6:$B$28="Alternatives")
/
SUMIF(AssetAssump!$B$6:$B$28,"Alternatives",AssetAssump!$D$6:$D$28)),0)</f>
        <v>9.3480000000000008E-2</v>
      </c>
      <c r="BR49" s="50">
        <f>IFERROR(SUMPRODUCT(AssetAssump!$E$6:$E$28,
AssetAssump!$D$6:$D$28,
N(AssetAssump!$B$6:$B$28="Alternatives")
/
SUMIF(AssetAssump!$B$6:$B$28,"Alternatives",AssetAssump!$D$6:$D$28)),0)</f>
        <v>9.3480000000000008E-2</v>
      </c>
      <c r="BS49" s="50">
        <f>IFERROR(SUMPRODUCT(AssetAssump!$E$6:$E$28,
AssetAssump!$D$6:$D$28,
N(AssetAssump!$B$6:$B$28="Alternatives")
/
SUMIF(AssetAssump!$B$6:$B$28,"Alternatives",AssetAssump!$D$6:$D$28)),0)</f>
        <v>9.3480000000000008E-2</v>
      </c>
      <c r="BT49" s="50">
        <f>IFERROR(SUMPRODUCT(AssetAssump!$E$6:$E$28,
AssetAssump!$D$6:$D$28,
N(AssetAssump!$B$6:$B$28="Alternatives")
/
SUMIF(AssetAssump!$B$6:$B$28,"Alternatives",AssetAssump!$D$6:$D$28)),0)</f>
        <v>9.3480000000000008E-2</v>
      </c>
      <c r="BU49" s="50">
        <f>IFERROR(SUMPRODUCT(AssetAssump!$E$6:$E$28,
AssetAssump!$D$6:$D$28,
N(AssetAssump!$B$6:$B$28="Alternatives")
/
SUMIF(AssetAssump!$B$6:$B$28,"Alternatives",AssetAssump!$D$6:$D$28)),0)</f>
        <v>9.3480000000000008E-2</v>
      </c>
      <c r="BV49" s="50">
        <f>IFERROR(SUMPRODUCT(AssetAssump!$E$6:$E$28,
AssetAssump!$D$6:$D$28,
N(AssetAssump!$B$6:$B$28="Alternatives")
/
SUMIF(AssetAssump!$B$6:$B$28,"Alternatives",AssetAssump!$D$6:$D$28)),0)</f>
        <v>9.3480000000000008E-2</v>
      </c>
      <c r="BW49" s="50">
        <f>IFERROR(SUMPRODUCT(AssetAssump!$E$6:$E$28,
AssetAssump!$D$6:$D$28,
N(AssetAssump!$B$6:$B$28="Alternatives")
/
SUMIF(AssetAssump!$B$6:$B$28,"Alternatives",AssetAssump!$D$6:$D$28)),0)</f>
        <v>9.3480000000000008E-2</v>
      </c>
      <c r="BX49" s="50">
        <f>IFERROR(SUMPRODUCT(AssetAssump!$E$6:$E$28,
AssetAssump!$D$6:$D$28,
N(AssetAssump!$B$6:$B$28="Alternatives")
/
SUMIF(AssetAssump!$B$6:$B$28,"Alternatives",AssetAssump!$D$6:$D$28)),0)</f>
        <v>9.3480000000000008E-2</v>
      </c>
      <c r="BY49" s="50">
        <f>IFERROR(SUMPRODUCT(AssetAssump!$E$6:$E$28,
AssetAssump!$D$6:$D$28,
N(AssetAssump!$B$6:$B$28="Alternatives")
/
SUMIF(AssetAssump!$B$6:$B$28,"Alternatives",AssetAssump!$D$6:$D$28)),0)</f>
        <v>9.3480000000000008E-2</v>
      </c>
      <c r="BZ49" s="50">
        <f>IFERROR(SUMPRODUCT(AssetAssump!$E$6:$E$28,
AssetAssump!$D$6:$D$28,
N(AssetAssump!$B$6:$B$28="Alternatives")
/
SUMIF(AssetAssump!$B$6:$B$28,"Alternatives",AssetAssump!$D$6:$D$28)),0)</f>
        <v>9.3480000000000008E-2</v>
      </c>
      <c r="CA49" s="50">
        <f>IFERROR(SUMPRODUCT(AssetAssump!$E$6:$E$28,
AssetAssump!$D$6:$D$28,
N(AssetAssump!$B$6:$B$28="Alternatives")
/
SUMIF(AssetAssump!$B$6:$B$28,"Alternatives",AssetAssump!$D$6:$D$28)),0)</f>
        <v>9.3480000000000008E-2</v>
      </c>
      <c r="CB49" s="50">
        <f>IFERROR(SUMPRODUCT(AssetAssump!$E$6:$E$28,
AssetAssump!$D$6:$D$28,
N(AssetAssump!$B$6:$B$28="Alternatives")
/
SUMIF(AssetAssump!$B$6:$B$28,"Alternatives",AssetAssump!$D$6:$D$28)),0)</f>
        <v>9.3480000000000008E-2</v>
      </c>
      <c r="CC49" s="50">
        <f>IFERROR(SUMPRODUCT(AssetAssump!$E$6:$E$28,
AssetAssump!$D$6:$D$28,
N(AssetAssump!$B$6:$B$28="Alternatives")
/
SUMIF(AssetAssump!$B$6:$B$28,"Alternatives",AssetAssump!$D$6:$D$28)),0)</f>
        <v>9.3480000000000008E-2</v>
      </c>
      <c r="CD49" s="50">
        <f>IFERROR(SUMPRODUCT(AssetAssump!$E$6:$E$28,
AssetAssump!$D$6:$D$28,
N(AssetAssump!$B$6:$B$28="Alternatives")
/
SUMIF(AssetAssump!$B$6:$B$28,"Alternatives",AssetAssump!$D$6:$D$28)),0)</f>
        <v>9.3480000000000008E-2</v>
      </c>
      <c r="CE49" s="50">
        <f>IFERROR(SUMPRODUCT(AssetAssump!$E$6:$E$28,
AssetAssump!$D$6:$D$28,
N(AssetAssump!$B$6:$B$28="Alternatives")
/
SUMIF(AssetAssump!$B$6:$B$28,"Alternatives",AssetAssump!$D$6:$D$28)),0)</f>
        <v>9.3480000000000008E-2</v>
      </c>
      <c r="CF49" s="50">
        <f>IFERROR(SUMPRODUCT(AssetAssump!$E$6:$E$28,
AssetAssump!$D$6:$D$28,
N(AssetAssump!$B$6:$B$28="Alternatives")
/
SUMIF(AssetAssump!$B$6:$B$28,"Alternatives",AssetAssump!$D$6:$D$28)),0)</f>
        <v>9.3480000000000008E-2</v>
      </c>
      <c r="CG49" s="50">
        <f>IFERROR(SUMPRODUCT(AssetAssump!$E$6:$E$28,
AssetAssump!$D$6:$D$28,
N(AssetAssump!$B$6:$B$28="Alternatives")
/
SUMIF(AssetAssump!$B$6:$B$28,"Alternatives",AssetAssump!$D$6:$D$28)),0)</f>
        <v>9.3480000000000008E-2</v>
      </c>
      <c r="CH49" s="50">
        <f>IFERROR(SUMPRODUCT(AssetAssump!$E$6:$E$28,
AssetAssump!$D$6:$D$28,
N(AssetAssump!$B$6:$B$28="Alternatives")
/
SUMIF(AssetAssump!$B$6:$B$28,"Alternatives",AssetAssump!$D$6:$D$28)),0)</f>
        <v>9.3480000000000008E-2</v>
      </c>
      <c r="CI49" s="50">
        <f>IFERROR(SUMPRODUCT(AssetAssump!$E$6:$E$28,
AssetAssump!$D$6:$D$28,
N(AssetAssump!$B$6:$B$28="Alternatives")
/
SUMIF(AssetAssump!$B$6:$B$28,"Alternatives",AssetAssump!$D$6:$D$28)),0)</f>
        <v>9.3480000000000008E-2</v>
      </c>
      <c r="CJ49" s="50">
        <f>IFERROR(SUMPRODUCT(AssetAssump!$E$6:$E$28,
AssetAssump!$D$6:$D$28,
N(AssetAssump!$B$6:$B$28="Alternatives")
/
SUMIF(AssetAssump!$B$6:$B$28,"Alternatives",AssetAssump!$D$6:$D$28)),0)</f>
        <v>9.3480000000000008E-2</v>
      </c>
      <c r="CK49" s="50">
        <f>IFERROR(SUMPRODUCT(AssetAssump!$E$6:$E$28,
AssetAssump!$D$6:$D$28,
N(AssetAssump!$B$6:$B$28="Alternatives")
/
SUMIF(AssetAssump!$B$6:$B$28,"Alternatives",AssetAssump!$D$6:$D$28)),0)</f>
        <v>9.3480000000000008E-2</v>
      </c>
      <c r="CL49" s="50">
        <f>IFERROR(SUMPRODUCT(AssetAssump!$E$6:$E$28,
AssetAssump!$D$6:$D$28,
N(AssetAssump!$B$6:$B$28="Alternatives")
/
SUMIF(AssetAssump!$B$6:$B$28,"Alternatives",AssetAssump!$D$6:$D$28)),0)</f>
        <v>9.3480000000000008E-2</v>
      </c>
      <c r="CM49" s="50">
        <f>IFERROR(SUMPRODUCT(AssetAssump!$E$6:$E$28,
AssetAssump!$D$6:$D$28,
N(AssetAssump!$B$6:$B$28="Alternatives")
/
SUMIF(AssetAssump!$B$6:$B$28,"Alternatives",AssetAssump!$D$6:$D$28)),0)</f>
        <v>9.3480000000000008E-2</v>
      </c>
      <c r="CN49" s="50">
        <f>IFERROR(SUMPRODUCT(AssetAssump!$E$6:$E$28,
AssetAssump!$D$6:$D$28,
N(AssetAssump!$B$6:$B$28="Alternatives")
/
SUMIF(AssetAssump!$B$6:$B$28,"Alternatives",AssetAssump!$D$6:$D$28)),0)</f>
        <v>9.3480000000000008E-2</v>
      </c>
      <c r="CO49" s="50">
        <f>IFERROR(SUMPRODUCT(AssetAssump!$E$6:$E$28,
AssetAssump!$D$6:$D$28,
N(AssetAssump!$B$6:$B$28="Alternatives")
/
SUMIF(AssetAssump!$B$6:$B$28,"Alternatives",AssetAssump!$D$6:$D$28)),0)</f>
        <v>9.3480000000000008E-2</v>
      </c>
      <c r="CP49" s="50">
        <f>IFERROR(SUMPRODUCT(AssetAssump!$E$6:$E$28,
AssetAssump!$D$6:$D$28,
N(AssetAssump!$B$6:$B$28="Alternatives")
/
SUMIF(AssetAssump!$B$6:$B$28,"Alternatives",AssetAssump!$D$6:$D$28)),0)</f>
        <v>9.3480000000000008E-2</v>
      </c>
      <c r="CQ49" s="50">
        <f>IFERROR(SUMPRODUCT(AssetAssump!$E$6:$E$28,
AssetAssump!$D$6:$D$28,
N(AssetAssump!$B$6:$B$28="Alternatives")
/
SUMIF(AssetAssump!$B$6:$B$28,"Alternatives",AssetAssump!$D$6:$D$28)),0)</f>
        <v>9.3480000000000008E-2</v>
      </c>
      <c r="CR49" s="50">
        <f>IFERROR(SUMPRODUCT(AssetAssump!$E$6:$E$28,
AssetAssump!$D$6:$D$28,
N(AssetAssump!$B$6:$B$28="Alternatives")
/
SUMIF(AssetAssump!$B$6:$B$28,"Alternatives",AssetAssump!$D$6:$D$28)),0)</f>
        <v>9.3480000000000008E-2</v>
      </c>
      <c r="CS49" s="50">
        <f>IFERROR(SUMPRODUCT(AssetAssump!$E$6:$E$28,
AssetAssump!$D$6:$D$28,
N(AssetAssump!$B$6:$B$28="Alternatives")
/
SUMIF(AssetAssump!$B$6:$B$28,"Alternatives",AssetAssump!$D$6:$D$28)),0)</f>
        <v>9.3480000000000008E-2</v>
      </c>
      <c r="CT49" s="50">
        <f>IFERROR(SUMPRODUCT(AssetAssump!$E$6:$E$28,
AssetAssump!$D$6:$D$28,
N(AssetAssump!$B$6:$B$28="Alternatives")
/
SUMIF(AssetAssump!$B$6:$B$28,"Alternatives",AssetAssump!$D$6:$D$28)),0)</f>
        <v>9.3480000000000008E-2</v>
      </c>
      <c r="CU49" s="50">
        <f>IFERROR(SUMPRODUCT(AssetAssump!$E$6:$E$28,
AssetAssump!$D$6:$D$28,
N(AssetAssump!$B$6:$B$28="Alternatives")
/
SUMIF(AssetAssump!$B$6:$B$28,"Alternatives",AssetAssump!$D$6:$D$28)),0)</f>
        <v>9.3480000000000008E-2</v>
      </c>
      <c r="CV49" s="50">
        <f>IFERROR(SUMPRODUCT(AssetAssump!$E$6:$E$28,
AssetAssump!$D$6:$D$28,
N(AssetAssump!$B$6:$B$28="Alternatives")
/
SUMIF(AssetAssump!$B$6:$B$28,"Alternatives",AssetAssump!$D$6:$D$28)),0)</f>
        <v>9.3480000000000008E-2</v>
      </c>
      <c r="CW49" s="50">
        <f>IFERROR(SUMPRODUCT(AssetAssump!$E$6:$E$28,
AssetAssump!$D$6:$D$28,
N(AssetAssump!$B$6:$B$28="Alternatives")
/
SUMIF(AssetAssump!$B$6:$B$28,"Alternatives",AssetAssump!$D$6:$D$28)),0)</f>
        <v>9.3480000000000008E-2</v>
      </c>
      <c r="CX49" s="50">
        <f>IFERROR(SUMPRODUCT(AssetAssump!$E$6:$E$28,
AssetAssump!$D$6:$D$28,
N(AssetAssump!$B$6:$B$28="Alternatives")
/
SUMIF(AssetAssump!$B$6:$B$28,"Alternatives",AssetAssump!$D$6:$D$28)),0)</f>
        <v>9.3480000000000008E-2</v>
      </c>
      <c r="CY49" s="50">
        <f>IFERROR(SUMPRODUCT(AssetAssump!$E$6:$E$28,
AssetAssump!$D$6:$D$28,
N(AssetAssump!$B$6:$B$28="Alternatives")
/
SUMIF(AssetAssump!$B$6:$B$28,"Alternatives",AssetAssump!$D$6:$D$28)),0)</f>
        <v>9.3480000000000008E-2</v>
      </c>
      <c r="CZ49" s="50">
        <f>IFERROR(SUMPRODUCT(AssetAssump!$E$6:$E$28,
AssetAssump!$D$6:$D$28,
N(AssetAssump!$B$6:$B$28="Alternatives")
/
SUMIF(AssetAssump!$B$6:$B$28,"Alternatives",AssetAssump!$D$6:$D$28)),0)</f>
        <v>9.3480000000000008E-2</v>
      </c>
      <c r="DA49" s="50">
        <f>IFERROR(SUMPRODUCT(AssetAssump!$E$6:$E$28,
AssetAssump!$D$6:$D$28,
N(AssetAssump!$B$6:$B$28="Alternatives")
/
SUMIF(AssetAssump!$B$6:$B$28,"Alternatives",AssetAssump!$D$6:$D$28)),0)</f>
        <v>9.3480000000000008E-2</v>
      </c>
      <c r="DB49" s="50">
        <f>IFERROR(SUMPRODUCT(AssetAssump!$E$6:$E$28,
AssetAssump!$D$6:$D$28,
N(AssetAssump!$B$6:$B$28="Alternatives")
/
SUMIF(AssetAssump!$B$6:$B$28,"Alternatives",AssetAssump!$D$6:$D$28)),0)</f>
        <v>9.3480000000000008E-2</v>
      </c>
      <c r="DC49" s="50">
        <f>IFERROR(SUMPRODUCT(AssetAssump!$E$6:$E$28,
AssetAssump!$D$6:$D$28,
N(AssetAssump!$B$6:$B$28="Alternatives")
/
SUMIF(AssetAssump!$B$6:$B$28,"Alternatives",AssetAssump!$D$6:$D$28)),0)</f>
        <v>9.3480000000000008E-2</v>
      </c>
      <c r="DD49" s="50">
        <f>IFERROR(SUMPRODUCT(AssetAssump!$E$6:$E$28,
AssetAssump!$D$6:$D$28,
N(AssetAssump!$B$6:$B$28="Alternatives")
/
SUMIF(AssetAssump!$B$6:$B$28,"Alternatives",AssetAssump!$D$6:$D$28)),0)</f>
        <v>9.3480000000000008E-2</v>
      </c>
      <c r="DE49" s="50">
        <f>IFERROR(SUMPRODUCT(AssetAssump!$E$6:$E$28,
AssetAssump!$D$6:$D$28,
N(AssetAssump!$B$6:$B$28="Alternatives")
/
SUMIF(AssetAssump!$B$6:$B$28,"Alternatives",AssetAssump!$D$6:$D$28)),0)</f>
        <v>9.3480000000000008E-2</v>
      </c>
      <c r="DF49" s="50">
        <f>IFERROR(SUMPRODUCT(AssetAssump!$E$6:$E$28,
AssetAssump!$D$6:$D$28,
N(AssetAssump!$B$6:$B$28="Alternatives")
/
SUMIF(AssetAssump!$B$6:$B$28,"Alternatives",AssetAssump!$D$6:$D$28)),0)</f>
        <v>9.3480000000000008E-2</v>
      </c>
      <c r="DG49" s="50">
        <f>IFERROR(SUMPRODUCT(AssetAssump!$E$6:$E$28,
AssetAssump!$D$6:$D$28,
N(AssetAssump!$B$6:$B$28="Alternatives")
/
SUMIF(AssetAssump!$B$6:$B$28,"Alternatives",AssetAssump!$D$6:$D$28)),0)</f>
        <v>9.3480000000000008E-2</v>
      </c>
      <c r="DH49" s="50">
        <f>IFERROR(SUMPRODUCT(AssetAssump!$E$6:$E$28,
AssetAssump!$D$6:$D$28,
N(AssetAssump!$B$6:$B$28="Alternatives")
/
SUMIF(AssetAssump!$B$6:$B$28,"Alternatives",AssetAssump!$D$6:$D$28)),0)</f>
        <v>9.3480000000000008E-2</v>
      </c>
      <c r="DI49" s="50">
        <f>IFERROR(SUMPRODUCT(AssetAssump!$E$6:$E$28,
AssetAssump!$D$6:$D$28,
N(AssetAssump!$B$6:$B$28="Alternatives")
/
SUMIF(AssetAssump!$B$6:$B$28,"Alternatives",AssetAssump!$D$6:$D$28)),0)</f>
        <v>9.3480000000000008E-2</v>
      </c>
      <c r="DJ49" s="50">
        <f>IFERROR(SUMPRODUCT(AssetAssump!$E$6:$E$28,
AssetAssump!$D$6:$D$28,
N(AssetAssump!$B$6:$B$28="Alternatives")
/
SUMIF(AssetAssump!$B$6:$B$28,"Alternatives",AssetAssump!$D$6:$D$28)),0)</f>
        <v>9.3480000000000008E-2</v>
      </c>
      <c r="DK49" s="50">
        <f>IFERROR(SUMPRODUCT(AssetAssump!$E$6:$E$28,
AssetAssump!$D$6:$D$28,
N(AssetAssump!$B$6:$B$28="Alternatives")
/
SUMIF(AssetAssump!$B$6:$B$28,"Alternatives",AssetAssump!$D$6:$D$28)),0)</f>
        <v>9.3480000000000008E-2</v>
      </c>
      <c r="DL49" s="50">
        <f>IFERROR(SUMPRODUCT(AssetAssump!$E$6:$E$28,
AssetAssump!$D$6:$D$28,
N(AssetAssump!$B$6:$B$28="Alternatives")
/
SUMIF(AssetAssump!$B$6:$B$28,"Alternatives",AssetAssump!$D$6:$D$28)),0)</f>
        <v>9.3480000000000008E-2</v>
      </c>
      <c r="DM49" s="50">
        <f>IFERROR(SUMPRODUCT(AssetAssump!$E$6:$E$28,
AssetAssump!$D$6:$D$28,
N(AssetAssump!$B$6:$B$28="Alternatives")
/
SUMIF(AssetAssump!$B$6:$B$28,"Alternatives",AssetAssump!$D$6:$D$28)),0)</f>
        <v>9.3480000000000008E-2</v>
      </c>
      <c r="DN49" s="50">
        <f>IFERROR(SUMPRODUCT(AssetAssump!$E$6:$E$28,
AssetAssump!$D$6:$D$28,
N(AssetAssump!$B$6:$B$28="Alternatives")
/
SUMIF(AssetAssump!$B$6:$B$28,"Alternatives",AssetAssump!$D$6:$D$28)),0)</f>
        <v>9.3480000000000008E-2</v>
      </c>
      <c r="DO49" s="50">
        <f>IFERROR(SUMPRODUCT(AssetAssump!$E$6:$E$28,
AssetAssump!$D$6:$D$28,
N(AssetAssump!$B$6:$B$28="Alternatives")
/
SUMIF(AssetAssump!$B$6:$B$28,"Alternatives",AssetAssump!$D$6:$D$28)),0)</f>
        <v>9.3480000000000008E-2</v>
      </c>
      <c r="DP49" s="50">
        <f>IFERROR(SUMPRODUCT(AssetAssump!$E$6:$E$28,
AssetAssump!$D$6:$D$28,
N(AssetAssump!$B$6:$B$28="Alternatives")
/
SUMIF(AssetAssump!$B$6:$B$28,"Alternatives",AssetAssump!$D$6:$D$28)),0)</f>
        <v>9.3480000000000008E-2</v>
      </c>
      <c r="DQ49" s="50">
        <f>IFERROR(SUMPRODUCT(AssetAssump!$E$6:$E$28,
AssetAssump!$D$6:$D$28,
N(AssetAssump!$B$6:$B$28="Alternatives")
/
SUMIF(AssetAssump!$B$6:$B$28,"Alternatives",AssetAssump!$D$6:$D$28)),0)</f>
        <v>9.3480000000000008E-2</v>
      </c>
      <c r="DR49" s="50">
        <f>IFERROR(SUMPRODUCT(AssetAssump!$E$6:$E$28,
AssetAssump!$D$6:$D$28,
N(AssetAssump!$B$6:$B$28="Alternatives")
/
SUMIF(AssetAssump!$B$6:$B$28,"Alternatives",AssetAssump!$D$6:$D$28)),0)</f>
        <v>9.3480000000000008E-2</v>
      </c>
      <c r="DS49" s="50">
        <f>IFERROR(SUMPRODUCT(AssetAssump!$E$6:$E$28,
AssetAssump!$D$6:$D$28,
N(AssetAssump!$B$6:$B$28="Alternatives")
/
SUMIF(AssetAssump!$B$6:$B$28,"Alternatives",AssetAssump!$D$6:$D$28)),0)</f>
        <v>9.3480000000000008E-2</v>
      </c>
      <c r="DT49" s="50">
        <f>IFERROR(SUMPRODUCT(AssetAssump!$E$6:$E$28,
AssetAssump!$D$6:$D$28,
N(AssetAssump!$B$6:$B$28="Alternatives")
/
SUMIF(AssetAssump!$B$6:$B$28,"Alternatives",AssetAssump!$D$6:$D$28)),0)</f>
        <v>9.3480000000000008E-2</v>
      </c>
      <c r="DU49" s="50">
        <f>IFERROR(SUMPRODUCT(AssetAssump!$E$6:$E$28,
AssetAssump!$D$6:$D$28,
N(AssetAssump!$B$6:$B$28="Alternatives")
/
SUMIF(AssetAssump!$B$6:$B$28,"Alternatives",AssetAssump!$D$6:$D$28)),0)</f>
        <v>9.3480000000000008E-2</v>
      </c>
      <c r="DV49" s="50">
        <f>IFERROR(SUMPRODUCT(AssetAssump!$E$6:$E$28,
AssetAssump!$D$6:$D$28,
N(AssetAssump!$B$6:$B$28="Alternatives")
/
SUMIF(AssetAssump!$B$6:$B$28,"Alternatives",AssetAssump!$D$6:$D$28)),0)</f>
        <v>9.3480000000000008E-2</v>
      </c>
      <c r="DW49" s="50">
        <f>IFERROR(SUMPRODUCT(AssetAssump!$E$6:$E$28,
AssetAssump!$D$6:$D$28,
N(AssetAssump!$B$6:$B$28="Alternatives")
/
SUMIF(AssetAssump!$B$6:$B$28,"Alternatives",AssetAssump!$D$6:$D$28)),0)</f>
        <v>9.3480000000000008E-2</v>
      </c>
      <c r="DX49" s="50">
        <f>IFERROR(SUMPRODUCT(AssetAssump!$E$6:$E$28,
AssetAssump!$D$6:$D$28,
N(AssetAssump!$B$6:$B$28="Alternatives")
/
SUMIF(AssetAssump!$B$6:$B$28,"Alternatives",AssetAssump!$D$6:$D$28)),0)</f>
        <v>9.3480000000000008E-2</v>
      </c>
      <c r="DY49" s="50">
        <f>IFERROR(SUMPRODUCT(AssetAssump!$E$6:$E$28,
AssetAssump!$D$6:$D$28,
N(AssetAssump!$B$6:$B$28="Alternatives")
/
SUMIF(AssetAssump!$B$6:$B$28,"Alternatives",AssetAssump!$D$6:$D$28)),0)</f>
        <v>9.3480000000000008E-2</v>
      </c>
      <c r="DZ49" s="50">
        <f>IFERROR(SUMPRODUCT(AssetAssump!$E$6:$E$28,
AssetAssump!$D$6:$D$28,
N(AssetAssump!$B$6:$B$28="Alternatives")
/
SUMIF(AssetAssump!$B$6:$B$28,"Alternatives",AssetAssump!$D$6:$D$28)),0)</f>
        <v>9.3480000000000008E-2</v>
      </c>
      <c r="EA49" s="50">
        <f>IFERROR(SUMPRODUCT(AssetAssump!$E$6:$E$28,
AssetAssump!$D$6:$D$28,
N(AssetAssump!$B$6:$B$28="Alternatives")
/
SUMIF(AssetAssump!$B$6:$B$28,"Alternatives",AssetAssump!$D$6:$D$28)),0)</f>
        <v>9.3480000000000008E-2</v>
      </c>
      <c r="EB49" s="50">
        <f>IFERROR(SUMPRODUCT(AssetAssump!$E$6:$E$28,
AssetAssump!$D$6:$D$28,
N(AssetAssump!$B$6:$B$28="Alternatives")
/
SUMIF(AssetAssump!$B$6:$B$28,"Alternatives",AssetAssump!$D$6:$D$28)),0)</f>
        <v>9.3480000000000008E-2</v>
      </c>
      <c r="EC49" s="50">
        <f>IFERROR(SUMPRODUCT(AssetAssump!$E$6:$E$28,
AssetAssump!$D$6:$D$28,
N(AssetAssump!$B$6:$B$28="Alternatives")
/
SUMIF(AssetAssump!$B$6:$B$28,"Alternatives",AssetAssump!$D$6:$D$28)),0)</f>
        <v>9.3480000000000008E-2</v>
      </c>
      <c r="ED49" s="50">
        <f>IFERROR(SUMPRODUCT(AssetAssump!$E$6:$E$28,
AssetAssump!$D$6:$D$28,
N(AssetAssump!$B$6:$B$28="Alternatives")
/
SUMIF(AssetAssump!$B$6:$B$28,"Alternatives",AssetAssump!$D$6:$D$28)),0)</f>
        <v>9.3480000000000008E-2</v>
      </c>
      <c r="EE49" s="50">
        <f>IFERROR(SUMPRODUCT(AssetAssump!$E$6:$E$28,
AssetAssump!$D$6:$D$28,
N(AssetAssump!$B$6:$B$28="Alternatives")
/
SUMIF(AssetAssump!$B$6:$B$28,"Alternatives",AssetAssump!$D$6:$D$28)),0)</f>
        <v>9.3480000000000008E-2</v>
      </c>
      <c r="EF49" s="50">
        <f>IFERROR(SUMPRODUCT(AssetAssump!$E$6:$E$28,
AssetAssump!$D$6:$D$28,
N(AssetAssump!$B$6:$B$28="Alternatives")
/
SUMIF(AssetAssump!$B$6:$B$28,"Alternatives",AssetAssump!$D$6:$D$28)),0)</f>
        <v>9.3480000000000008E-2</v>
      </c>
      <c r="EG49" s="50">
        <f>IFERROR(SUMPRODUCT(AssetAssump!$E$6:$E$28,
AssetAssump!$D$6:$D$28,
N(AssetAssump!$B$6:$B$28="Alternatives")
/
SUMIF(AssetAssump!$B$6:$B$28,"Alternatives",AssetAssump!$D$6:$D$28)),0)</f>
        <v>9.3480000000000008E-2</v>
      </c>
      <c r="EH49" s="50">
        <f>IFERROR(SUMPRODUCT(AssetAssump!$E$6:$E$28,
AssetAssump!$D$6:$D$28,
N(AssetAssump!$B$6:$B$28="Alternatives")
/
SUMIF(AssetAssump!$B$6:$B$28,"Alternatives",AssetAssump!$D$6:$D$28)),0)</f>
        <v>9.3480000000000008E-2</v>
      </c>
      <c r="EI49" s="50">
        <f>IFERROR(SUMPRODUCT(AssetAssump!$E$6:$E$28,
AssetAssump!$D$6:$D$28,
N(AssetAssump!$B$6:$B$28="Alternatives")
/
SUMIF(AssetAssump!$B$6:$B$28,"Alternatives",AssetAssump!$D$6:$D$28)),0)</f>
        <v>9.3480000000000008E-2</v>
      </c>
      <c r="EJ49" s="50">
        <f>IFERROR(SUMPRODUCT(AssetAssump!$E$6:$E$28,
AssetAssump!$D$6:$D$28,
N(AssetAssump!$B$6:$B$28="Alternatives")
/
SUMIF(AssetAssump!$B$6:$B$28,"Alternatives",AssetAssump!$D$6:$D$28)),0)</f>
        <v>9.3480000000000008E-2</v>
      </c>
      <c r="EK49" s="50">
        <f>IFERROR(SUMPRODUCT(AssetAssump!$E$6:$E$28,
AssetAssump!$D$6:$D$28,
N(AssetAssump!$B$6:$B$28="Alternatives")
/
SUMIF(AssetAssump!$B$6:$B$28,"Alternatives",AssetAssump!$D$6:$D$28)),0)</f>
        <v>9.3480000000000008E-2</v>
      </c>
      <c r="EL49" s="50">
        <f>IFERROR(SUMPRODUCT(AssetAssump!$E$6:$E$28,
AssetAssump!$D$6:$D$28,
N(AssetAssump!$B$6:$B$28="Alternatives")
/
SUMIF(AssetAssump!$B$6:$B$28,"Alternatives",AssetAssump!$D$6:$D$28)),0)</f>
        <v>9.3480000000000008E-2</v>
      </c>
    </row>
    <row r="50" spans="2:142">
      <c r="B50" s="51" t="s">
        <v>27</v>
      </c>
      <c r="C50" s="50">
        <f>IFERROR(SUMPRODUCT(AssetAssump!$E$6:$E$28,
AssetAssump!$D$6:$D$28,
N(AssetAssump!$B$6:$B$28="Others")
/
SUMIF(AssetAssump!$B$6:$B$28,"Others",AssetAssump!$D$6:$D$28)),0)</f>
        <v>0</v>
      </c>
      <c r="D50" s="50">
        <f>IFERROR(SUMPRODUCT(AssetAssump!$E$6:$E$28,
AssetAssump!$D$6:$D$28,
N(AssetAssump!$B$6:$B$28="Others")
/
SUMIF(AssetAssump!$B$6:$B$28,"Others",AssetAssump!$D$6:$D$28)),0)</f>
        <v>0</v>
      </c>
      <c r="E50" s="50">
        <f>IFERROR(SUMPRODUCT(AssetAssump!$E$6:$E$28,
AssetAssump!$D$6:$D$28,
N(AssetAssump!$B$6:$B$28="Others")
/
SUMIF(AssetAssump!$B$6:$B$28,"Others",AssetAssump!$D$6:$D$28)),0)</f>
        <v>0</v>
      </c>
      <c r="F50" s="50">
        <f>IFERROR(SUMPRODUCT(AssetAssump!$E$6:$E$28,
AssetAssump!$D$6:$D$28,
N(AssetAssump!$B$6:$B$28="Others")
/
SUMIF(AssetAssump!$B$6:$B$28,"Others",AssetAssump!$D$6:$D$28)),0)</f>
        <v>0</v>
      </c>
      <c r="G50" s="50">
        <f>IFERROR(SUMPRODUCT(AssetAssump!$E$6:$E$28,
AssetAssump!$D$6:$D$28,
N(AssetAssump!$B$6:$B$28="Others")
/
SUMIF(AssetAssump!$B$6:$B$28,"Others",AssetAssump!$D$6:$D$28)),0)</f>
        <v>0</v>
      </c>
      <c r="H50" s="50">
        <f>IFERROR(SUMPRODUCT(AssetAssump!$E$6:$E$28,
AssetAssump!$D$6:$D$28,
N(AssetAssump!$B$6:$B$28="Others")
/
SUMIF(AssetAssump!$B$6:$B$28,"Others",AssetAssump!$D$6:$D$28)),0)</f>
        <v>0</v>
      </c>
      <c r="I50" s="50">
        <f>IFERROR(SUMPRODUCT(AssetAssump!$E$6:$E$28,
AssetAssump!$D$6:$D$28,
N(AssetAssump!$B$6:$B$28="Others")
/
SUMIF(AssetAssump!$B$6:$B$28,"Others",AssetAssump!$D$6:$D$28)),0)</f>
        <v>0</v>
      </c>
      <c r="J50" s="50">
        <f>IFERROR(SUMPRODUCT(AssetAssump!$E$6:$E$28,
AssetAssump!$D$6:$D$28,
N(AssetAssump!$B$6:$B$28="Others")
/
SUMIF(AssetAssump!$B$6:$B$28,"Others",AssetAssump!$D$6:$D$28)),0)</f>
        <v>0</v>
      </c>
      <c r="K50" s="50">
        <f>IFERROR(SUMPRODUCT(AssetAssump!$E$6:$E$28,
AssetAssump!$D$6:$D$28,
N(AssetAssump!$B$6:$B$28="Others")
/
SUMIF(AssetAssump!$B$6:$B$28,"Others",AssetAssump!$D$6:$D$28)),0)</f>
        <v>0</v>
      </c>
      <c r="L50" s="50">
        <f>IFERROR(SUMPRODUCT(AssetAssump!$E$6:$E$28,
AssetAssump!$D$6:$D$28,
N(AssetAssump!$B$6:$B$28="Others")
/
SUMIF(AssetAssump!$B$6:$B$28,"Others",AssetAssump!$D$6:$D$28)),0)</f>
        <v>0</v>
      </c>
      <c r="M50" s="50">
        <f>IFERROR(SUMPRODUCT(AssetAssump!$E$6:$E$28,
AssetAssump!$D$6:$D$28,
N(AssetAssump!$B$6:$B$28="Others")
/
SUMIF(AssetAssump!$B$6:$B$28,"Others",AssetAssump!$D$6:$D$28)),0)</f>
        <v>0</v>
      </c>
      <c r="N50" s="50">
        <f>IFERROR(SUMPRODUCT(AssetAssump!$E$6:$E$28,
AssetAssump!$D$6:$D$28,
N(AssetAssump!$B$6:$B$28="Others")
/
SUMIF(AssetAssump!$B$6:$B$28,"Others",AssetAssump!$D$6:$D$28)),0)</f>
        <v>0</v>
      </c>
      <c r="O50" s="50">
        <f>IFERROR(SUMPRODUCT(AssetAssump!$E$6:$E$28,
AssetAssump!$D$6:$D$28,
N(AssetAssump!$B$6:$B$28="Others")
/
SUMIF(AssetAssump!$B$6:$B$28,"Others",AssetAssump!$D$6:$D$28)),0)</f>
        <v>0</v>
      </c>
      <c r="P50" s="50">
        <f>IFERROR(SUMPRODUCT(AssetAssump!$E$6:$E$28,
AssetAssump!$D$6:$D$28,
N(AssetAssump!$B$6:$B$28="Others")
/
SUMIF(AssetAssump!$B$6:$B$28,"Others",AssetAssump!$D$6:$D$28)),0)</f>
        <v>0</v>
      </c>
      <c r="Q50" s="50">
        <f>IFERROR(SUMPRODUCT(AssetAssump!$E$6:$E$28,
AssetAssump!$D$6:$D$28,
N(AssetAssump!$B$6:$B$28="Others")
/
SUMIF(AssetAssump!$B$6:$B$28,"Others",AssetAssump!$D$6:$D$28)),0)</f>
        <v>0</v>
      </c>
      <c r="R50" s="50">
        <f>IFERROR(SUMPRODUCT(AssetAssump!$E$6:$E$28,
AssetAssump!$D$6:$D$28,
N(AssetAssump!$B$6:$B$28="Others")
/
SUMIF(AssetAssump!$B$6:$B$28,"Others",AssetAssump!$D$6:$D$28)),0)</f>
        <v>0</v>
      </c>
      <c r="S50" s="50">
        <f>IFERROR(SUMPRODUCT(AssetAssump!$E$6:$E$28,
AssetAssump!$D$6:$D$28,
N(AssetAssump!$B$6:$B$28="Others")
/
SUMIF(AssetAssump!$B$6:$B$28,"Others",AssetAssump!$D$6:$D$28)),0)</f>
        <v>0</v>
      </c>
      <c r="T50" s="50">
        <f>IFERROR(SUMPRODUCT(AssetAssump!$E$6:$E$28,
AssetAssump!$D$6:$D$28,
N(AssetAssump!$B$6:$B$28="Others")
/
SUMIF(AssetAssump!$B$6:$B$28,"Others",AssetAssump!$D$6:$D$28)),0)</f>
        <v>0</v>
      </c>
      <c r="U50" s="50">
        <f>IFERROR(SUMPRODUCT(AssetAssump!$E$6:$E$28,
AssetAssump!$D$6:$D$28,
N(AssetAssump!$B$6:$B$28="Others")
/
SUMIF(AssetAssump!$B$6:$B$28,"Others",AssetAssump!$D$6:$D$28)),0)</f>
        <v>0</v>
      </c>
      <c r="V50" s="50">
        <f>IFERROR(SUMPRODUCT(AssetAssump!$E$6:$E$28,
AssetAssump!$D$6:$D$28,
N(AssetAssump!$B$6:$B$28="Others")
/
SUMIF(AssetAssump!$B$6:$B$28,"Others",AssetAssump!$D$6:$D$28)),0)</f>
        <v>0</v>
      </c>
      <c r="W50" s="50">
        <f>IFERROR(SUMPRODUCT(AssetAssump!$E$6:$E$28,
AssetAssump!$D$6:$D$28,
N(AssetAssump!$B$6:$B$28="Others")
/
SUMIF(AssetAssump!$B$6:$B$28,"Others",AssetAssump!$D$6:$D$28)),0)</f>
        <v>0</v>
      </c>
      <c r="X50" s="50">
        <f>IFERROR(SUMPRODUCT(AssetAssump!$E$6:$E$28,
AssetAssump!$D$6:$D$28,
N(AssetAssump!$B$6:$B$28="Others")
/
SUMIF(AssetAssump!$B$6:$B$28,"Others",AssetAssump!$D$6:$D$28)),0)</f>
        <v>0</v>
      </c>
      <c r="Y50" s="50">
        <f>IFERROR(SUMPRODUCT(AssetAssump!$E$6:$E$28,
AssetAssump!$D$6:$D$28,
N(AssetAssump!$B$6:$B$28="Others")
/
SUMIF(AssetAssump!$B$6:$B$28,"Others",AssetAssump!$D$6:$D$28)),0)</f>
        <v>0</v>
      </c>
      <c r="Z50" s="50">
        <f>IFERROR(SUMPRODUCT(AssetAssump!$E$6:$E$28,
AssetAssump!$D$6:$D$28,
N(AssetAssump!$B$6:$B$28="Others")
/
SUMIF(AssetAssump!$B$6:$B$28,"Others",AssetAssump!$D$6:$D$28)),0)</f>
        <v>0</v>
      </c>
      <c r="AA50" s="50">
        <f>IFERROR(SUMPRODUCT(AssetAssump!$E$6:$E$28,
AssetAssump!$D$6:$D$28,
N(AssetAssump!$B$6:$B$28="Others")
/
SUMIF(AssetAssump!$B$6:$B$28,"Others",AssetAssump!$D$6:$D$28)),0)</f>
        <v>0</v>
      </c>
      <c r="AB50" s="50">
        <f>IFERROR(SUMPRODUCT(AssetAssump!$E$6:$E$28,
AssetAssump!$D$6:$D$28,
N(AssetAssump!$B$6:$B$28="Others")
/
SUMIF(AssetAssump!$B$6:$B$28,"Others",AssetAssump!$D$6:$D$28)),0)</f>
        <v>0</v>
      </c>
      <c r="AC50" s="50">
        <f>IFERROR(SUMPRODUCT(AssetAssump!$E$6:$E$28,
AssetAssump!$D$6:$D$28,
N(AssetAssump!$B$6:$B$28="Others")
/
SUMIF(AssetAssump!$B$6:$B$28,"Others",AssetAssump!$D$6:$D$28)),0)</f>
        <v>0</v>
      </c>
      <c r="AD50" s="50">
        <f>IFERROR(SUMPRODUCT(AssetAssump!$E$6:$E$28,
AssetAssump!$D$6:$D$28,
N(AssetAssump!$B$6:$B$28="Others")
/
SUMIF(AssetAssump!$B$6:$B$28,"Others",AssetAssump!$D$6:$D$28)),0)</f>
        <v>0</v>
      </c>
      <c r="AE50" s="50">
        <f>IFERROR(SUMPRODUCT(AssetAssump!$E$6:$E$28,
AssetAssump!$D$6:$D$28,
N(AssetAssump!$B$6:$B$28="Others")
/
SUMIF(AssetAssump!$B$6:$B$28,"Others",AssetAssump!$D$6:$D$28)),0)</f>
        <v>0</v>
      </c>
      <c r="AF50" s="50">
        <f>IFERROR(SUMPRODUCT(AssetAssump!$E$6:$E$28,
AssetAssump!$D$6:$D$28,
N(AssetAssump!$B$6:$B$28="Others")
/
SUMIF(AssetAssump!$B$6:$B$28,"Others",AssetAssump!$D$6:$D$28)),0)</f>
        <v>0</v>
      </c>
      <c r="AG50" s="50">
        <f>IFERROR(SUMPRODUCT(AssetAssump!$E$6:$E$28,
AssetAssump!$D$6:$D$28,
N(AssetAssump!$B$6:$B$28="Others")
/
SUMIF(AssetAssump!$B$6:$B$28,"Others",AssetAssump!$D$6:$D$28)),0)</f>
        <v>0</v>
      </c>
      <c r="AH50" s="50">
        <f>IFERROR(SUMPRODUCT(AssetAssump!$E$6:$E$28,
AssetAssump!$D$6:$D$28,
N(AssetAssump!$B$6:$B$28="Others")
/
SUMIF(AssetAssump!$B$6:$B$28,"Others",AssetAssump!$D$6:$D$28)),0)</f>
        <v>0</v>
      </c>
      <c r="AI50" s="50">
        <f>IFERROR(SUMPRODUCT(AssetAssump!$E$6:$E$28,
AssetAssump!$D$6:$D$28,
N(AssetAssump!$B$6:$B$28="Others")
/
SUMIF(AssetAssump!$B$6:$B$28,"Others",AssetAssump!$D$6:$D$28)),0)</f>
        <v>0</v>
      </c>
      <c r="AJ50" s="50">
        <f>IFERROR(SUMPRODUCT(AssetAssump!$E$6:$E$28,
AssetAssump!$D$6:$D$28,
N(AssetAssump!$B$6:$B$28="Others")
/
SUMIF(AssetAssump!$B$6:$B$28,"Others",AssetAssump!$D$6:$D$28)),0)</f>
        <v>0</v>
      </c>
      <c r="AK50" s="50">
        <f>IFERROR(SUMPRODUCT(AssetAssump!$E$6:$E$28,
AssetAssump!$D$6:$D$28,
N(AssetAssump!$B$6:$B$28="Others")
/
SUMIF(AssetAssump!$B$6:$B$28,"Others",AssetAssump!$D$6:$D$28)),0)</f>
        <v>0</v>
      </c>
      <c r="AL50" s="50">
        <f>IFERROR(SUMPRODUCT(AssetAssump!$E$6:$E$28,
AssetAssump!$D$6:$D$28,
N(AssetAssump!$B$6:$B$28="Others")
/
SUMIF(AssetAssump!$B$6:$B$28,"Others",AssetAssump!$D$6:$D$28)),0)</f>
        <v>0</v>
      </c>
      <c r="AM50" s="50">
        <f>IFERROR(SUMPRODUCT(AssetAssump!$E$6:$E$28,
AssetAssump!$D$6:$D$28,
N(AssetAssump!$B$6:$B$28="Others")
/
SUMIF(AssetAssump!$B$6:$B$28,"Others",AssetAssump!$D$6:$D$28)),0)</f>
        <v>0</v>
      </c>
      <c r="AN50" s="50">
        <f>IFERROR(SUMPRODUCT(AssetAssump!$E$6:$E$28,
AssetAssump!$D$6:$D$28,
N(AssetAssump!$B$6:$B$28="Others")
/
SUMIF(AssetAssump!$B$6:$B$28,"Others",AssetAssump!$D$6:$D$28)),0)</f>
        <v>0</v>
      </c>
      <c r="AO50" s="50">
        <f>IFERROR(SUMPRODUCT(AssetAssump!$E$6:$E$28,
AssetAssump!$D$6:$D$28,
N(AssetAssump!$B$6:$B$28="Others")
/
SUMIF(AssetAssump!$B$6:$B$28,"Others",AssetAssump!$D$6:$D$28)),0)</f>
        <v>0</v>
      </c>
      <c r="AP50" s="50">
        <f>IFERROR(SUMPRODUCT(AssetAssump!$E$6:$E$28,
AssetAssump!$D$6:$D$28,
N(AssetAssump!$B$6:$B$28="Others")
/
SUMIF(AssetAssump!$B$6:$B$28,"Others",AssetAssump!$D$6:$D$28)),0)</f>
        <v>0</v>
      </c>
      <c r="AQ50" s="50">
        <f>IFERROR(SUMPRODUCT(AssetAssump!$E$6:$E$28,
AssetAssump!$D$6:$D$28,
N(AssetAssump!$B$6:$B$28="Others")
/
SUMIF(AssetAssump!$B$6:$B$28,"Others",AssetAssump!$D$6:$D$28)),0)</f>
        <v>0</v>
      </c>
      <c r="AR50" s="50">
        <f>IFERROR(SUMPRODUCT(AssetAssump!$E$6:$E$28,
AssetAssump!$D$6:$D$28,
N(AssetAssump!$B$6:$B$28="Others")
/
SUMIF(AssetAssump!$B$6:$B$28,"Others",AssetAssump!$D$6:$D$28)),0)</f>
        <v>0</v>
      </c>
      <c r="AS50" s="50">
        <f>IFERROR(SUMPRODUCT(AssetAssump!$E$6:$E$28,
AssetAssump!$D$6:$D$28,
N(AssetAssump!$B$6:$B$28="Others")
/
SUMIF(AssetAssump!$B$6:$B$28,"Others",AssetAssump!$D$6:$D$28)),0)</f>
        <v>0</v>
      </c>
      <c r="AT50" s="50">
        <f>IFERROR(SUMPRODUCT(AssetAssump!$E$6:$E$28,
AssetAssump!$D$6:$D$28,
N(AssetAssump!$B$6:$B$28="Others")
/
SUMIF(AssetAssump!$B$6:$B$28,"Others",AssetAssump!$D$6:$D$28)),0)</f>
        <v>0</v>
      </c>
      <c r="AU50" s="50">
        <f>IFERROR(SUMPRODUCT(AssetAssump!$E$6:$E$28,
AssetAssump!$D$6:$D$28,
N(AssetAssump!$B$6:$B$28="Others")
/
SUMIF(AssetAssump!$B$6:$B$28,"Others",AssetAssump!$D$6:$D$28)),0)</f>
        <v>0</v>
      </c>
      <c r="AV50" s="50">
        <f>IFERROR(SUMPRODUCT(AssetAssump!$E$6:$E$28,
AssetAssump!$D$6:$D$28,
N(AssetAssump!$B$6:$B$28="Others")
/
SUMIF(AssetAssump!$B$6:$B$28,"Others",AssetAssump!$D$6:$D$28)),0)</f>
        <v>0</v>
      </c>
      <c r="AW50" s="50">
        <f>IFERROR(SUMPRODUCT(AssetAssump!$E$6:$E$28,
AssetAssump!$D$6:$D$28,
N(AssetAssump!$B$6:$B$28="Others")
/
SUMIF(AssetAssump!$B$6:$B$28,"Others",AssetAssump!$D$6:$D$28)),0)</f>
        <v>0</v>
      </c>
      <c r="AX50" s="50">
        <f>IFERROR(SUMPRODUCT(AssetAssump!$E$6:$E$28,
AssetAssump!$D$6:$D$28,
N(AssetAssump!$B$6:$B$28="Others")
/
SUMIF(AssetAssump!$B$6:$B$28,"Others",AssetAssump!$D$6:$D$28)),0)</f>
        <v>0</v>
      </c>
      <c r="AY50" s="50">
        <f>IFERROR(SUMPRODUCT(AssetAssump!$E$6:$E$28,
AssetAssump!$D$6:$D$28,
N(AssetAssump!$B$6:$B$28="Others")
/
SUMIF(AssetAssump!$B$6:$B$28,"Others",AssetAssump!$D$6:$D$28)),0)</f>
        <v>0</v>
      </c>
      <c r="AZ50" s="50">
        <f>IFERROR(SUMPRODUCT(AssetAssump!$E$6:$E$28,
AssetAssump!$D$6:$D$28,
N(AssetAssump!$B$6:$B$28="Others")
/
SUMIF(AssetAssump!$B$6:$B$28,"Others",AssetAssump!$D$6:$D$28)),0)</f>
        <v>0</v>
      </c>
      <c r="BA50" s="50">
        <f>IFERROR(SUMPRODUCT(AssetAssump!$E$6:$E$28,
AssetAssump!$D$6:$D$28,
N(AssetAssump!$B$6:$B$28="Others")
/
SUMIF(AssetAssump!$B$6:$B$28,"Others",AssetAssump!$D$6:$D$28)),0)</f>
        <v>0</v>
      </c>
      <c r="BB50" s="50">
        <f>IFERROR(SUMPRODUCT(AssetAssump!$E$6:$E$28,
AssetAssump!$D$6:$D$28,
N(AssetAssump!$B$6:$B$28="Others")
/
SUMIF(AssetAssump!$B$6:$B$28,"Others",AssetAssump!$D$6:$D$28)),0)</f>
        <v>0</v>
      </c>
      <c r="BC50" s="50">
        <f>IFERROR(SUMPRODUCT(AssetAssump!$E$6:$E$28,
AssetAssump!$D$6:$D$28,
N(AssetAssump!$B$6:$B$28="Others")
/
SUMIF(AssetAssump!$B$6:$B$28,"Others",AssetAssump!$D$6:$D$28)),0)</f>
        <v>0</v>
      </c>
      <c r="BD50" s="50">
        <f>IFERROR(SUMPRODUCT(AssetAssump!$E$6:$E$28,
AssetAssump!$D$6:$D$28,
N(AssetAssump!$B$6:$B$28="Others")
/
SUMIF(AssetAssump!$B$6:$B$28,"Others",AssetAssump!$D$6:$D$28)),0)</f>
        <v>0</v>
      </c>
      <c r="BE50" s="50">
        <f>IFERROR(SUMPRODUCT(AssetAssump!$E$6:$E$28,
AssetAssump!$D$6:$D$28,
N(AssetAssump!$B$6:$B$28="Others")
/
SUMIF(AssetAssump!$B$6:$B$28,"Others",AssetAssump!$D$6:$D$28)),0)</f>
        <v>0</v>
      </c>
      <c r="BF50" s="50">
        <f>IFERROR(SUMPRODUCT(AssetAssump!$E$6:$E$28,
AssetAssump!$D$6:$D$28,
N(AssetAssump!$B$6:$B$28="Others")
/
SUMIF(AssetAssump!$B$6:$B$28,"Others",AssetAssump!$D$6:$D$28)),0)</f>
        <v>0</v>
      </c>
      <c r="BG50" s="50">
        <f>IFERROR(SUMPRODUCT(AssetAssump!$E$6:$E$28,
AssetAssump!$D$6:$D$28,
N(AssetAssump!$B$6:$B$28="Others")
/
SUMIF(AssetAssump!$B$6:$B$28,"Others",AssetAssump!$D$6:$D$28)),0)</f>
        <v>0</v>
      </c>
      <c r="BH50" s="50">
        <f>IFERROR(SUMPRODUCT(AssetAssump!$E$6:$E$28,
AssetAssump!$D$6:$D$28,
N(AssetAssump!$B$6:$B$28="Others")
/
SUMIF(AssetAssump!$B$6:$B$28,"Others",AssetAssump!$D$6:$D$28)),0)</f>
        <v>0</v>
      </c>
      <c r="BI50" s="50">
        <f>IFERROR(SUMPRODUCT(AssetAssump!$E$6:$E$28,
AssetAssump!$D$6:$D$28,
N(AssetAssump!$B$6:$B$28="Others")
/
SUMIF(AssetAssump!$B$6:$B$28,"Others",AssetAssump!$D$6:$D$28)),0)</f>
        <v>0</v>
      </c>
      <c r="BJ50" s="50">
        <f>IFERROR(SUMPRODUCT(AssetAssump!$E$6:$E$28,
AssetAssump!$D$6:$D$28,
N(AssetAssump!$B$6:$B$28="Others")
/
SUMIF(AssetAssump!$B$6:$B$28,"Others",AssetAssump!$D$6:$D$28)),0)</f>
        <v>0</v>
      </c>
      <c r="BK50" s="50">
        <f>IFERROR(SUMPRODUCT(AssetAssump!$E$6:$E$28,
AssetAssump!$D$6:$D$28,
N(AssetAssump!$B$6:$B$28="Others")
/
SUMIF(AssetAssump!$B$6:$B$28,"Others",AssetAssump!$D$6:$D$28)),0)</f>
        <v>0</v>
      </c>
      <c r="BL50" s="50">
        <f>IFERROR(SUMPRODUCT(AssetAssump!$E$6:$E$28,
AssetAssump!$D$6:$D$28,
N(AssetAssump!$B$6:$B$28="Others")
/
SUMIF(AssetAssump!$B$6:$B$28,"Others",AssetAssump!$D$6:$D$28)),0)</f>
        <v>0</v>
      </c>
      <c r="BM50" s="50">
        <f>IFERROR(SUMPRODUCT(AssetAssump!$E$6:$E$28,
AssetAssump!$D$6:$D$28,
N(AssetAssump!$B$6:$B$28="Others")
/
SUMIF(AssetAssump!$B$6:$B$28,"Others",AssetAssump!$D$6:$D$28)),0)</f>
        <v>0</v>
      </c>
      <c r="BN50" s="50">
        <f>IFERROR(SUMPRODUCT(AssetAssump!$E$6:$E$28,
AssetAssump!$D$6:$D$28,
N(AssetAssump!$B$6:$B$28="Others")
/
SUMIF(AssetAssump!$B$6:$B$28,"Others",AssetAssump!$D$6:$D$28)),0)</f>
        <v>0</v>
      </c>
      <c r="BO50" s="50">
        <f>IFERROR(SUMPRODUCT(AssetAssump!$E$6:$E$28,
AssetAssump!$D$6:$D$28,
N(AssetAssump!$B$6:$B$28="Others")
/
SUMIF(AssetAssump!$B$6:$B$28,"Others",AssetAssump!$D$6:$D$28)),0)</f>
        <v>0</v>
      </c>
      <c r="BP50" s="50">
        <f>IFERROR(SUMPRODUCT(AssetAssump!$E$6:$E$28,
AssetAssump!$D$6:$D$28,
N(AssetAssump!$B$6:$B$28="Others")
/
SUMIF(AssetAssump!$B$6:$B$28,"Others",AssetAssump!$D$6:$D$28)),0)</f>
        <v>0</v>
      </c>
      <c r="BQ50" s="50">
        <f>IFERROR(SUMPRODUCT(AssetAssump!$E$6:$E$28,
AssetAssump!$D$6:$D$28,
N(AssetAssump!$B$6:$B$28="Others")
/
SUMIF(AssetAssump!$B$6:$B$28,"Others",AssetAssump!$D$6:$D$28)),0)</f>
        <v>0</v>
      </c>
      <c r="BR50" s="50">
        <f>IFERROR(SUMPRODUCT(AssetAssump!$E$6:$E$28,
AssetAssump!$D$6:$D$28,
N(AssetAssump!$B$6:$B$28="Others")
/
SUMIF(AssetAssump!$B$6:$B$28,"Others",AssetAssump!$D$6:$D$28)),0)</f>
        <v>0</v>
      </c>
      <c r="BS50" s="50">
        <f>IFERROR(SUMPRODUCT(AssetAssump!$E$6:$E$28,
AssetAssump!$D$6:$D$28,
N(AssetAssump!$B$6:$B$28="Others")
/
SUMIF(AssetAssump!$B$6:$B$28,"Others",AssetAssump!$D$6:$D$28)),0)</f>
        <v>0</v>
      </c>
      <c r="BT50" s="50">
        <f>IFERROR(SUMPRODUCT(AssetAssump!$E$6:$E$28,
AssetAssump!$D$6:$D$28,
N(AssetAssump!$B$6:$B$28="Others")
/
SUMIF(AssetAssump!$B$6:$B$28,"Others",AssetAssump!$D$6:$D$28)),0)</f>
        <v>0</v>
      </c>
      <c r="BU50" s="50">
        <f>IFERROR(SUMPRODUCT(AssetAssump!$E$6:$E$28,
AssetAssump!$D$6:$D$28,
N(AssetAssump!$B$6:$B$28="Others")
/
SUMIF(AssetAssump!$B$6:$B$28,"Others",AssetAssump!$D$6:$D$28)),0)</f>
        <v>0</v>
      </c>
      <c r="BV50" s="50">
        <f>IFERROR(SUMPRODUCT(AssetAssump!$E$6:$E$28,
AssetAssump!$D$6:$D$28,
N(AssetAssump!$B$6:$B$28="Others")
/
SUMIF(AssetAssump!$B$6:$B$28,"Others",AssetAssump!$D$6:$D$28)),0)</f>
        <v>0</v>
      </c>
      <c r="BW50" s="50">
        <f>IFERROR(SUMPRODUCT(AssetAssump!$E$6:$E$28,
AssetAssump!$D$6:$D$28,
N(AssetAssump!$B$6:$B$28="Others")
/
SUMIF(AssetAssump!$B$6:$B$28,"Others",AssetAssump!$D$6:$D$28)),0)</f>
        <v>0</v>
      </c>
      <c r="BX50" s="50">
        <f>IFERROR(SUMPRODUCT(AssetAssump!$E$6:$E$28,
AssetAssump!$D$6:$D$28,
N(AssetAssump!$B$6:$B$28="Others")
/
SUMIF(AssetAssump!$B$6:$B$28,"Others",AssetAssump!$D$6:$D$28)),0)</f>
        <v>0</v>
      </c>
      <c r="BY50" s="50">
        <f>IFERROR(SUMPRODUCT(AssetAssump!$E$6:$E$28,
AssetAssump!$D$6:$D$28,
N(AssetAssump!$B$6:$B$28="Others")
/
SUMIF(AssetAssump!$B$6:$B$28,"Others",AssetAssump!$D$6:$D$28)),0)</f>
        <v>0</v>
      </c>
      <c r="BZ50" s="50">
        <f>IFERROR(SUMPRODUCT(AssetAssump!$E$6:$E$28,
AssetAssump!$D$6:$D$28,
N(AssetAssump!$B$6:$B$28="Others")
/
SUMIF(AssetAssump!$B$6:$B$28,"Others",AssetAssump!$D$6:$D$28)),0)</f>
        <v>0</v>
      </c>
      <c r="CA50" s="50">
        <f>IFERROR(SUMPRODUCT(AssetAssump!$E$6:$E$28,
AssetAssump!$D$6:$D$28,
N(AssetAssump!$B$6:$B$28="Others")
/
SUMIF(AssetAssump!$B$6:$B$28,"Others",AssetAssump!$D$6:$D$28)),0)</f>
        <v>0</v>
      </c>
      <c r="CB50" s="50">
        <f>IFERROR(SUMPRODUCT(AssetAssump!$E$6:$E$28,
AssetAssump!$D$6:$D$28,
N(AssetAssump!$B$6:$B$28="Others")
/
SUMIF(AssetAssump!$B$6:$B$28,"Others",AssetAssump!$D$6:$D$28)),0)</f>
        <v>0</v>
      </c>
      <c r="CC50" s="50">
        <f>IFERROR(SUMPRODUCT(AssetAssump!$E$6:$E$28,
AssetAssump!$D$6:$D$28,
N(AssetAssump!$B$6:$B$28="Others")
/
SUMIF(AssetAssump!$B$6:$B$28,"Others",AssetAssump!$D$6:$D$28)),0)</f>
        <v>0</v>
      </c>
      <c r="CD50" s="50">
        <f>IFERROR(SUMPRODUCT(AssetAssump!$E$6:$E$28,
AssetAssump!$D$6:$D$28,
N(AssetAssump!$B$6:$B$28="Others")
/
SUMIF(AssetAssump!$B$6:$B$28,"Others",AssetAssump!$D$6:$D$28)),0)</f>
        <v>0</v>
      </c>
      <c r="CE50" s="50">
        <f>IFERROR(SUMPRODUCT(AssetAssump!$E$6:$E$28,
AssetAssump!$D$6:$D$28,
N(AssetAssump!$B$6:$B$28="Others")
/
SUMIF(AssetAssump!$B$6:$B$28,"Others",AssetAssump!$D$6:$D$28)),0)</f>
        <v>0</v>
      </c>
      <c r="CF50" s="50">
        <f>IFERROR(SUMPRODUCT(AssetAssump!$E$6:$E$28,
AssetAssump!$D$6:$D$28,
N(AssetAssump!$B$6:$B$28="Others")
/
SUMIF(AssetAssump!$B$6:$B$28,"Others",AssetAssump!$D$6:$D$28)),0)</f>
        <v>0</v>
      </c>
      <c r="CG50" s="50">
        <f>IFERROR(SUMPRODUCT(AssetAssump!$E$6:$E$28,
AssetAssump!$D$6:$D$28,
N(AssetAssump!$B$6:$B$28="Others")
/
SUMIF(AssetAssump!$B$6:$B$28,"Others",AssetAssump!$D$6:$D$28)),0)</f>
        <v>0</v>
      </c>
      <c r="CH50" s="50">
        <f>IFERROR(SUMPRODUCT(AssetAssump!$E$6:$E$28,
AssetAssump!$D$6:$D$28,
N(AssetAssump!$B$6:$B$28="Others")
/
SUMIF(AssetAssump!$B$6:$B$28,"Others",AssetAssump!$D$6:$D$28)),0)</f>
        <v>0</v>
      </c>
      <c r="CI50" s="50">
        <f>IFERROR(SUMPRODUCT(AssetAssump!$E$6:$E$28,
AssetAssump!$D$6:$D$28,
N(AssetAssump!$B$6:$B$28="Others")
/
SUMIF(AssetAssump!$B$6:$B$28,"Others",AssetAssump!$D$6:$D$28)),0)</f>
        <v>0</v>
      </c>
      <c r="CJ50" s="50">
        <f>IFERROR(SUMPRODUCT(AssetAssump!$E$6:$E$28,
AssetAssump!$D$6:$D$28,
N(AssetAssump!$B$6:$B$28="Others")
/
SUMIF(AssetAssump!$B$6:$B$28,"Others",AssetAssump!$D$6:$D$28)),0)</f>
        <v>0</v>
      </c>
      <c r="CK50" s="50">
        <f>IFERROR(SUMPRODUCT(AssetAssump!$E$6:$E$28,
AssetAssump!$D$6:$D$28,
N(AssetAssump!$B$6:$B$28="Others")
/
SUMIF(AssetAssump!$B$6:$B$28,"Others",AssetAssump!$D$6:$D$28)),0)</f>
        <v>0</v>
      </c>
      <c r="CL50" s="50">
        <f>IFERROR(SUMPRODUCT(AssetAssump!$E$6:$E$28,
AssetAssump!$D$6:$D$28,
N(AssetAssump!$B$6:$B$28="Others")
/
SUMIF(AssetAssump!$B$6:$B$28,"Others",AssetAssump!$D$6:$D$28)),0)</f>
        <v>0</v>
      </c>
      <c r="CM50" s="50">
        <f>IFERROR(SUMPRODUCT(AssetAssump!$E$6:$E$28,
AssetAssump!$D$6:$D$28,
N(AssetAssump!$B$6:$B$28="Others")
/
SUMIF(AssetAssump!$B$6:$B$28,"Others",AssetAssump!$D$6:$D$28)),0)</f>
        <v>0</v>
      </c>
      <c r="CN50" s="50">
        <f>IFERROR(SUMPRODUCT(AssetAssump!$E$6:$E$28,
AssetAssump!$D$6:$D$28,
N(AssetAssump!$B$6:$B$28="Others")
/
SUMIF(AssetAssump!$B$6:$B$28,"Others",AssetAssump!$D$6:$D$28)),0)</f>
        <v>0</v>
      </c>
      <c r="CO50" s="50">
        <f>IFERROR(SUMPRODUCT(AssetAssump!$E$6:$E$28,
AssetAssump!$D$6:$D$28,
N(AssetAssump!$B$6:$B$28="Others")
/
SUMIF(AssetAssump!$B$6:$B$28,"Others",AssetAssump!$D$6:$D$28)),0)</f>
        <v>0</v>
      </c>
      <c r="CP50" s="50">
        <f>IFERROR(SUMPRODUCT(AssetAssump!$E$6:$E$28,
AssetAssump!$D$6:$D$28,
N(AssetAssump!$B$6:$B$28="Others")
/
SUMIF(AssetAssump!$B$6:$B$28,"Others",AssetAssump!$D$6:$D$28)),0)</f>
        <v>0</v>
      </c>
      <c r="CQ50" s="50">
        <f>IFERROR(SUMPRODUCT(AssetAssump!$E$6:$E$28,
AssetAssump!$D$6:$D$28,
N(AssetAssump!$B$6:$B$28="Others")
/
SUMIF(AssetAssump!$B$6:$B$28,"Others",AssetAssump!$D$6:$D$28)),0)</f>
        <v>0</v>
      </c>
      <c r="CR50" s="50">
        <f>IFERROR(SUMPRODUCT(AssetAssump!$E$6:$E$28,
AssetAssump!$D$6:$D$28,
N(AssetAssump!$B$6:$B$28="Others")
/
SUMIF(AssetAssump!$B$6:$B$28,"Others",AssetAssump!$D$6:$D$28)),0)</f>
        <v>0</v>
      </c>
      <c r="CS50" s="50">
        <f>IFERROR(SUMPRODUCT(AssetAssump!$E$6:$E$28,
AssetAssump!$D$6:$D$28,
N(AssetAssump!$B$6:$B$28="Others")
/
SUMIF(AssetAssump!$B$6:$B$28,"Others",AssetAssump!$D$6:$D$28)),0)</f>
        <v>0</v>
      </c>
      <c r="CT50" s="50">
        <f>IFERROR(SUMPRODUCT(AssetAssump!$E$6:$E$28,
AssetAssump!$D$6:$D$28,
N(AssetAssump!$B$6:$B$28="Others")
/
SUMIF(AssetAssump!$B$6:$B$28,"Others",AssetAssump!$D$6:$D$28)),0)</f>
        <v>0</v>
      </c>
      <c r="CU50" s="50">
        <f>IFERROR(SUMPRODUCT(AssetAssump!$E$6:$E$28,
AssetAssump!$D$6:$D$28,
N(AssetAssump!$B$6:$B$28="Others")
/
SUMIF(AssetAssump!$B$6:$B$28,"Others",AssetAssump!$D$6:$D$28)),0)</f>
        <v>0</v>
      </c>
      <c r="CV50" s="50">
        <f>IFERROR(SUMPRODUCT(AssetAssump!$E$6:$E$28,
AssetAssump!$D$6:$D$28,
N(AssetAssump!$B$6:$B$28="Others")
/
SUMIF(AssetAssump!$B$6:$B$28,"Others",AssetAssump!$D$6:$D$28)),0)</f>
        <v>0</v>
      </c>
      <c r="CW50" s="50">
        <f>IFERROR(SUMPRODUCT(AssetAssump!$E$6:$E$28,
AssetAssump!$D$6:$D$28,
N(AssetAssump!$B$6:$B$28="Others")
/
SUMIF(AssetAssump!$B$6:$B$28,"Others",AssetAssump!$D$6:$D$28)),0)</f>
        <v>0</v>
      </c>
      <c r="CX50" s="50">
        <f>IFERROR(SUMPRODUCT(AssetAssump!$E$6:$E$28,
AssetAssump!$D$6:$D$28,
N(AssetAssump!$B$6:$B$28="Others")
/
SUMIF(AssetAssump!$B$6:$B$28,"Others",AssetAssump!$D$6:$D$28)),0)</f>
        <v>0</v>
      </c>
      <c r="CY50" s="50">
        <f>IFERROR(SUMPRODUCT(AssetAssump!$E$6:$E$28,
AssetAssump!$D$6:$D$28,
N(AssetAssump!$B$6:$B$28="Others")
/
SUMIF(AssetAssump!$B$6:$B$28,"Others",AssetAssump!$D$6:$D$28)),0)</f>
        <v>0</v>
      </c>
      <c r="CZ50" s="50">
        <f>IFERROR(SUMPRODUCT(AssetAssump!$E$6:$E$28,
AssetAssump!$D$6:$D$28,
N(AssetAssump!$B$6:$B$28="Others")
/
SUMIF(AssetAssump!$B$6:$B$28,"Others",AssetAssump!$D$6:$D$28)),0)</f>
        <v>0</v>
      </c>
      <c r="DA50" s="50">
        <f>IFERROR(SUMPRODUCT(AssetAssump!$E$6:$E$28,
AssetAssump!$D$6:$D$28,
N(AssetAssump!$B$6:$B$28="Others")
/
SUMIF(AssetAssump!$B$6:$B$28,"Others",AssetAssump!$D$6:$D$28)),0)</f>
        <v>0</v>
      </c>
      <c r="DB50" s="50">
        <f>IFERROR(SUMPRODUCT(AssetAssump!$E$6:$E$28,
AssetAssump!$D$6:$D$28,
N(AssetAssump!$B$6:$B$28="Others")
/
SUMIF(AssetAssump!$B$6:$B$28,"Others",AssetAssump!$D$6:$D$28)),0)</f>
        <v>0</v>
      </c>
      <c r="DC50" s="50">
        <f>IFERROR(SUMPRODUCT(AssetAssump!$E$6:$E$28,
AssetAssump!$D$6:$D$28,
N(AssetAssump!$B$6:$B$28="Others")
/
SUMIF(AssetAssump!$B$6:$B$28,"Others",AssetAssump!$D$6:$D$28)),0)</f>
        <v>0</v>
      </c>
      <c r="DD50" s="50">
        <f>IFERROR(SUMPRODUCT(AssetAssump!$E$6:$E$28,
AssetAssump!$D$6:$D$28,
N(AssetAssump!$B$6:$B$28="Others")
/
SUMIF(AssetAssump!$B$6:$B$28,"Others",AssetAssump!$D$6:$D$28)),0)</f>
        <v>0</v>
      </c>
      <c r="DE50" s="50">
        <f>IFERROR(SUMPRODUCT(AssetAssump!$E$6:$E$28,
AssetAssump!$D$6:$D$28,
N(AssetAssump!$B$6:$B$28="Others")
/
SUMIF(AssetAssump!$B$6:$B$28,"Others",AssetAssump!$D$6:$D$28)),0)</f>
        <v>0</v>
      </c>
      <c r="DF50" s="50">
        <f>IFERROR(SUMPRODUCT(AssetAssump!$E$6:$E$28,
AssetAssump!$D$6:$D$28,
N(AssetAssump!$B$6:$B$28="Others")
/
SUMIF(AssetAssump!$B$6:$B$28,"Others",AssetAssump!$D$6:$D$28)),0)</f>
        <v>0</v>
      </c>
      <c r="DG50" s="50">
        <f>IFERROR(SUMPRODUCT(AssetAssump!$E$6:$E$28,
AssetAssump!$D$6:$D$28,
N(AssetAssump!$B$6:$B$28="Others")
/
SUMIF(AssetAssump!$B$6:$B$28,"Others",AssetAssump!$D$6:$D$28)),0)</f>
        <v>0</v>
      </c>
      <c r="DH50" s="50">
        <f>IFERROR(SUMPRODUCT(AssetAssump!$E$6:$E$28,
AssetAssump!$D$6:$D$28,
N(AssetAssump!$B$6:$B$28="Others")
/
SUMIF(AssetAssump!$B$6:$B$28,"Others",AssetAssump!$D$6:$D$28)),0)</f>
        <v>0</v>
      </c>
      <c r="DI50" s="50">
        <f>IFERROR(SUMPRODUCT(AssetAssump!$E$6:$E$28,
AssetAssump!$D$6:$D$28,
N(AssetAssump!$B$6:$B$28="Others")
/
SUMIF(AssetAssump!$B$6:$B$28,"Others",AssetAssump!$D$6:$D$28)),0)</f>
        <v>0</v>
      </c>
      <c r="DJ50" s="50">
        <f>IFERROR(SUMPRODUCT(AssetAssump!$E$6:$E$28,
AssetAssump!$D$6:$D$28,
N(AssetAssump!$B$6:$B$28="Others")
/
SUMIF(AssetAssump!$B$6:$B$28,"Others",AssetAssump!$D$6:$D$28)),0)</f>
        <v>0</v>
      </c>
      <c r="DK50" s="50">
        <f>IFERROR(SUMPRODUCT(AssetAssump!$E$6:$E$28,
AssetAssump!$D$6:$D$28,
N(AssetAssump!$B$6:$B$28="Others")
/
SUMIF(AssetAssump!$B$6:$B$28,"Others",AssetAssump!$D$6:$D$28)),0)</f>
        <v>0</v>
      </c>
      <c r="DL50" s="50">
        <f>IFERROR(SUMPRODUCT(AssetAssump!$E$6:$E$28,
AssetAssump!$D$6:$D$28,
N(AssetAssump!$B$6:$B$28="Others")
/
SUMIF(AssetAssump!$B$6:$B$28,"Others",AssetAssump!$D$6:$D$28)),0)</f>
        <v>0</v>
      </c>
      <c r="DM50" s="50">
        <f>IFERROR(SUMPRODUCT(AssetAssump!$E$6:$E$28,
AssetAssump!$D$6:$D$28,
N(AssetAssump!$B$6:$B$28="Others")
/
SUMIF(AssetAssump!$B$6:$B$28,"Others",AssetAssump!$D$6:$D$28)),0)</f>
        <v>0</v>
      </c>
      <c r="DN50" s="50">
        <f>IFERROR(SUMPRODUCT(AssetAssump!$E$6:$E$28,
AssetAssump!$D$6:$D$28,
N(AssetAssump!$B$6:$B$28="Others")
/
SUMIF(AssetAssump!$B$6:$B$28,"Others",AssetAssump!$D$6:$D$28)),0)</f>
        <v>0</v>
      </c>
      <c r="DO50" s="50">
        <f>IFERROR(SUMPRODUCT(AssetAssump!$E$6:$E$28,
AssetAssump!$D$6:$D$28,
N(AssetAssump!$B$6:$B$28="Others")
/
SUMIF(AssetAssump!$B$6:$B$28,"Others",AssetAssump!$D$6:$D$28)),0)</f>
        <v>0</v>
      </c>
      <c r="DP50" s="50">
        <f>IFERROR(SUMPRODUCT(AssetAssump!$E$6:$E$28,
AssetAssump!$D$6:$D$28,
N(AssetAssump!$B$6:$B$28="Others")
/
SUMIF(AssetAssump!$B$6:$B$28,"Others",AssetAssump!$D$6:$D$28)),0)</f>
        <v>0</v>
      </c>
      <c r="DQ50" s="50">
        <f>IFERROR(SUMPRODUCT(AssetAssump!$E$6:$E$28,
AssetAssump!$D$6:$D$28,
N(AssetAssump!$B$6:$B$28="Others")
/
SUMIF(AssetAssump!$B$6:$B$28,"Others",AssetAssump!$D$6:$D$28)),0)</f>
        <v>0</v>
      </c>
      <c r="DR50" s="50">
        <f>IFERROR(SUMPRODUCT(AssetAssump!$E$6:$E$28,
AssetAssump!$D$6:$D$28,
N(AssetAssump!$B$6:$B$28="Others")
/
SUMIF(AssetAssump!$B$6:$B$28,"Others",AssetAssump!$D$6:$D$28)),0)</f>
        <v>0</v>
      </c>
      <c r="DS50" s="50">
        <f>IFERROR(SUMPRODUCT(AssetAssump!$E$6:$E$28,
AssetAssump!$D$6:$D$28,
N(AssetAssump!$B$6:$B$28="Others")
/
SUMIF(AssetAssump!$B$6:$B$28,"Others",AssetAssump!$D$6:$D$28)),0)</f>
        <v>0</v>
      </c>
      <c r="DT50" s="50">
        <f>IFERROR(SUMPRODUCT(AssetAssump!$E$6:$E$28,
AssetAssump!$D$6:$D$28,
N(AssetAssump!$B$6:$B$28="Others")
/
SUMIF(AssetAssump!$B$6:$B$28,"Others",AssetAssump!$D$6:$D$28)),0)</f>
        <v>0</v>
      </c>
      <c r="DU50" s="50">
        <f>IFERROR(SUMPRODUCT(AssetAssump!$E$6:$E$28,
AssetAssump!$D$6:$D$28,
N(AssetAssump!$B$6:$B$28="Others")
/
SUMIF(AssetAssump!$B$6:$B$28,"Others",AssetAssump!$D$6:$D$28)),0)</f>
        <v>0</v>
      </c>
      <c r="DV50" s="50">
        <f>IFERROR(SUMPRODUCT(AssetAssump!$E$6:$E$28,
AssetAssump!$D$6:$D$28,
N(AssetAssump!$B$6:$B$28="Others")
/
SUMIF(AssetAssump!$B$6:$B$28,"Others",AssetAssump!$D$6:$D$28)),0)</f>
        <v>0</v>
      </c>
      <c r="DW50" s="50">
        <f>IFERROR(SUMPRODUCT(AssetAssump!$E$6:$E$28,
AssetAssump!$D$6:$D$28,
N(AssetAssump!$B$6:$B$28="Others")
/
SUMIF(AssetAssump!$B$6:$B$28,"Others",AssetAssump!$D$6:$D$28)),0)</f>
        <v>0</v>
      </c>
      <c r="DX50" s="50">
        <f>IFERROR(SUMPRODUCT(AssetAssump!$E$6:$E$28,
AssetAssump!$D$6:$D$28,
N(AssetAssump!$B$6:$B$28="Others")
/
SUMIF(AssetAssump!$B$6:$B$28,"Others",AssetAssump!$D$6:$D$28)),0)</f>
        <v>0</v>
      </c>
      <c r="DY50" s="50">
        <f>IFERROR(SUMPRODUCT(AssetAssump!$E$6:$E$28,
AssetAssump!$D$6:$D$28,
N(AssetAssump!$B$6:$B$28="Others")
/
SUMIF(AssetAssump!$B$6:$B$28,"Others",AssetAssump!$D$6:$D$28)),0)</f>
        <v>0</v>
      </c>
      <c r="DZ50" s="50">
        <f>IFERROR(SUMPRODUCT(AssetAssump!$E$6:$E$28,
AssetAssump!$D$6:$D$28,
N(AssetAssump!$B$6:$B$28="Others")
/
SUMIF(AssetAssump!$B$6:$B$28,"Others",AssetAssump!$D$6:$D$28)),0)</f>
        <v>0</v>
      </c>
      <c r="EA50" s="50">
        <f>IFERROR(SUMPRODUCT(AssetAssump!$E$6:$E$28,
AssetAssump!$D$6:$D$28,
N(AssetAssump!$B$6:$B$28="Others")
/
SUMIF(AssetAssump!$B$6:$B$28,"Others",AssetAssump!$D$6:$D$28)),0)</f>
        <v>0</v>
      </c>
      <c r="EB50" s="50">
        <f>IFERROR(SUMPRODUCT(AssetAssump!$E$6:$E$28,
AssetAssump!$D$6:$D$28,
N(AssetAssump!$B$6:$B$28="Others")
/
SUMIF(AssetAssump!$B$6:$B$28,"Others",AssetAssump!$D$6:$D$28)),0)</f>
        <v>0</v>
      </c>
      <c r="EC50" s="50">
        <f>IFERROR(SUMPRODUCT(AssetAssump!$E$6:$E$28,
AssetAssump!$D$6:$D$28,
N(AssetAssump!$B$6:$B$28="Others")
/
SUMIF(AssetAssump!$B$6:$B$28,"Others",AssetAssump!$D$6:$D$28)),0)</f>
        <v>0</v>
      </c>
      <c r="ED50" s="50">
        <f>IFERROR(SUMPRODUCT(AssetAssump!$E$6:$E$28,
AssetAssump!$D$6:$D$28,
N(AssetAssump!$B$6:$B$28="Others")
/
SUMIF(AssetAssump!$B$6:$B$28,"Others",AssetAssump!$D$6:$D$28)),0)</f>
        <v>0</v>
      </c>
      <c r="EE50" s="50">
        <f>IFERROR(SUMPRODUCT(AssetAssump!$E$6:$E$28,
AssetAssump!$D$6:$D$28,
N(AssetAssump!$B$6:$B$28="Others")
/
SUMIF(AssetAssump!$B$6:$B$28,"Others",AssetAssump!$D$6:$D$28)),0)</f>
        <v>0</v>
      </c>
      <c r="EF50" s="50">
        <f>IFERROR(SUMPRODUCT(AssetAssump!$E$6:$E$28,
AssetAssump!$D$6:$D$28,
N(AssetAssump!$B$6:$B$28="Others")
/
SUMIF(AssetAssump!$B$6:$B$28,"Others",AssetAssump!$D$6:$D$28)),0)</f>
        <v>0</v>
      </c>
      <c r="EG50" s="50">
        <f>IFERROR(SUMPRODUCT(AssetAssump!$E$6:$E$28,
AssetAssump!$D$6:$D$28,
N(AssetAssump!$B$6:$B$28="Others")
/
SUMIF(AssetAssump!$B$6:$B$28,"Others",AssetAssump!$D$6:$D$28)),0)</f>
        <v>0</v>
      </c>
      <c r="EH50" s="50">
        <f>IFERROR(SUMPRODUCT(AssetAssump!$E$6:$E$28,
AssetAssump!$D$6:$D$28,
N(AssetAssump!$B$6:$B$28="Others")
/
SUMIF(AssetAssump!$B$6:$B$28,"Others",AssetAssump!$D$6:$D$28)),0)</f>
        <v>0</v>
      </c>
      <c r="EI50" s="50">
        <f>IFERROR(SUMPRODUCT(AssetAssump!$E$6:$E$28,
AssetAssump!$D$6:$D$28,
N(AssetAssump!$B$6:$B$28="Others")
/
SUMIF(AssetAssump!$B$6:$B$28,"Others",AssetAssump!$D$6:$D$28)),0)</f>
        <v>0</v>
      </c>
      <c r="EJ50" s="50">
        <f>IFERROR(SUMPRODUCT(AssetAssump!$E$6:$E$28,
AssetAssump!$D$6:$D$28,
N(AssetAssump!$B$6:$B$28="Others")
/
SUMIF(AssetAssump!$B$6:$B$28,"Others",AssetAssump!$D$6:$D$28)),0)</f>
        <v>0</v>
      </c>
      <c r="EK50" s="50">
        <f>IFERROR(SUMPRODUCT(AssetAssump!$E$6:$E$28,
AssetAssump!$D$6:$D$28,
N(AssetAssump!$B$6:$B$28="Others")
/
SUMIF(AssetAssump!$B$6:$B$28,"Others",AssetAssump!$D$6:$D$28)),0)</f>
        <v>0</v>
      </c>
      <c r="EL50" s="50">
        <f>IFERROR(SUMPRODUCT(AssetAssump!$E$6:$E$28,
AssetAssump!$D$6:$D$28,
N(AssetAssump!$B$6:$B$28="Others")
/
SUMIF(AssetAssump!$B$6:$B$28,"Others",AssetAssump!$D$6:$D$28)),0)</f>
        <v>0</v>
      </c>
    </row>
    <row r="51" spans="2:142">
      <c r="B51" s="49" t="s">
        <v>25</v>
      </c>
      <c r="C51" s="48">
        <f ca="1">(C28*C47+C29*C48+C30*C49+C31*C50)/(C28+SUM(C29:C31))-OtherAssump!$C$10</f>
        <v>6.7524374723307815E-2</v>
      </c>
      <c r="D51" s="48">
        <f ca="1">(D28*D47+D29*D48+D30*D49+D31*D50)/(D28+SUM(D29:D31))-OtherAssump!$C$10</f>
        <v>6.9095197587855428E-2</v>
      </c>
      <c r="E51" s="48">
        <f ca="1">(E28*E47+E29*E48+E30*E49+E31*E50)/(E28+SUM(E29:E31))-OtherAssump!$C$10</f>
        <v>7.1037501719028395E-2</v>
      </c>
      <c r="F51" s="48">
        <f ca="1">(F28*F47+F29*F48+F30*F49+F31*F50)/(F28+SUM(F29:F31))-OtherAssump!$C$10</f>
        <v>7.2476579022261844E-2</v>
      </c>
      <c r="G51" s="48">
        <f ca="1">(G28*G47+G29*G48+G30*G49+G31*G50)/(G28+SUM(G29:G31))-OtherAssump!$C$10</f>
        <v>7.4243368231740797E-2</v>
      </c>
      <c r="H51" s="48">
        <f ca="1">(H28*H47+H29*H48+H30*H49+H31*H50)/(H28+SUM(H29:H31))-OtherAssump!$C$10</f>
        <v>7.4022755206741786E-2</v>
      </c>
      <c r="I51" s="48">
        <f ca="1">(I28*I47+I29*I48+I30*I49+I31*I50)/(I28+SUM(I29:I31))-OtherAssump!$C$10</f>
        <v>7.4260784736391541E-2</v>
      </c>
      <c r="J51" s="48">
        <f ca="1">(J28*J47+J29*J48+J30*J49+J31*J50)/(J28+SUM(J29:J31))-OtherAssump!$C$10</f>
        <v>7.4205213850221788E-2</v>
      </c>
      <c r="K51" s="48">
        <f ca="1">(K28*K47+K29*K48+K30*K49+K31*K50)/(K28+SUM(K29:K31))-OtherAssump!$C$10</f>
        <v>7.4069611650763062E-2</v>
      </c>
      <c r="L51" s="48">
        <f ca="1">(L28*L47+L29*L48+L30*L49+L31*L50)/(L28+SUM(L29:L31))-OtherAssump!$C$10</f>
        <v>7.4455548426391224E-2</v>
      </c>
      <c r="M51" s="48">
        <f ca="1">(M28*M47+M29*M48+M30*M49+M31*M50)/(M28+SUM(M29:M31))-OtherAssump!$C$10</f>
        <v>7.4176948521377017E-2</v>
      </c>
      <c r="N51" s="48">
        <f ca="1">(N28*N47+N29*N48+N30*N49+N31*N50)/(N28+SUM(N29:N31))-OtherAssump!$C$10</f>
        <v>7.4220957996069245E-2</v>
      </c>
      <c r="O51" s="48">
        <f ca="1">(O28*O47+O29*O48+O30*O49+O31*O50)/(O28+SUM(O29:O31))-OtherAssump!$C$10</f>
        <v>7.4366337424715254E-2</v>
      </c>
      <c r="P51" s="48">
        <f ca="1">(P28*P47+P29*P48+P30*P49+P31*P50)/(P28+SUM(P29:P31))-OtherAssump!$C$10</f>
        <v>7.4463489608068839E-2</v>
      </c>
      <c r="Q51" s="48">
        <f ca="1">(Q28*Q47+Q29*Q48+Q30*Q49+Q31*Q50)/(Q28+SUM(Q29:Q31))-OtherAssump!$C$10</f>
        <v>7.4516551849549542E-2</v>
      </c>
      <c r="R51" s="48">
        <f ca="1">(R28*R47+R29*R48+R30*R49+R31*R50)/(R28+SUM(R29:R31))-OtherAssump!$C$10</f>
        <v>7.4530280353002423E-2</v>
      </c>
      <c r="S51" s="48">
        <f ca="1">(S28*S47+S29*S48+S30*S49+S31*S50)/(S28+SUM(S29:S31))-OtherAssump!$C$10</f>
        <v>7.4504557497937413E-2</v>
      </c>
      <c r="T51" s="48">
        <f ca="1">(T28*T47+T29*T48+T30*T49+T31*T50)/(T28+SUM(T29:T31))-OtherAssump!$C$10</f>
        <v>7.4443937597271595E-2</v>
      </c>
      <c r="U51" s="48">
        <f ca="1">(U28*U47+U29*U48+U30*U49+U31*U50)/(U28+SUM(U29:U31))-OtherAssump!$C$10</f>
        <v>7.4371791681995175E-2</v>
      </c>
      <c r="V51" s="48">
        <f ca="1">(V28*V47+V29*V48+V30*V49+V31*V50)/(V28+SUM(V29:V31))-OtherAssump!$C$10</f>
        <v>7.4280088497367211E-2</v>
      </c>
      <c r="W51" s="48">
        <f ca="1">(W28*W47+W29*W48+W30*W49+W31*W50)/(W28+SUM(W29:W31))-OtherAssump!$C$10</f>
        <v>7.4167417788431361E-2</v>
      </c>
      <c r="X51" s="48">
        <f ca="1">(X28*X47+X29*X48+X30*X49+X31*X50)/(X28+SUM(X29:X31))-OtherAssump!$C$10</f>
        <v>7.4040810862014472E-2</v>
      </c>
      <c r="Y51" s="48">
        <f ca="1">(Y28*Y47+Y29*Y48+Y30*Y49+Y31*Y50)/(Y28+SUM(Y29:Y31))-OtherAssump!$C$10</f>
        <v>7.3934738342518458E-2</v>
      </c>
      <c r="Z51" s="48">
        <f ca="1">(Z28*Z47+Z29*Z48+Z30*Z49+Z31*Z50)/(Z28+SUM(Z29:Z31))-OtherAssump!$C$10</f>
        <v>7.3842988776060201E-2</v>
      </c>
      <c r="AA51" s="48">
        <f ca="1">(AA28*AA47+AA29*AA48+AA30*AA49+AA31*AA50)/(AA28+SUM(AA29:AA31))-OtherAssump!$C$10</f>
        <v>7.3773398640134588E-2</v>
      </c>
      <c r="AB51" s="48">
        <f ca="1">(AB28*AB47+AB29*AB48+AB30*AB49+AB31*AB50)/(AB28+SUM(AB29:AB31))-OtherAssump!$C$10</f>
        <v>7.3720027984633604E-2</v>
      </c>
      <c r="AC51" s="48">
        <f ca="1">(AC28*AC47+AC29*AC48+AC30*AC49+AC31*AC50)/(AC28+SUM(AC29:AC31))-OtherAssump!$C$10</f>
        <v>7.3693370869724856E-2</v>
      </c>
      <c r="AD51" s="48">
        <f ca="1">(AD28*AD47+AD29*AD48+AD30*AD49+AD31*AD50)/(AD28+SUM(AD29:AD31))-OtherAssump!$C$10</f>
        <v>7.3672246968452246E-2</v>
      </c>
      <c r="AE51" s="48">
        <f ca="1">(AE28*AE47+AE29*AE48+AE30*AE49+AE31*AE50)/(AE28+SUM(AE29:AE31))-OtherAssump!$C$10</f>
        <v>7.3647974380161199E-2</v>
      </c>
      <c r="AF51" s="48">
        <f ca="1">(AF28*AF47+AF29*AF48+AF30*AF49+AF31*AF50)/(AF28+SUM(AF29:AF31))-OtherAssump!$C$10</f>
        <v>7.3634754986688949E-2</v>
      </c>
      <c r="AG51" s="48">
        <f ca="1">(AG28*AG47+AG29*AG48+AG30*AG49+AG31*AG50)/(AG28+SUM(AG29:AG31))-OtherAssump!$C$10</f>
        <v>7.3686056611242098E-2</v>
      </c>
      <c r="AH51" s="48">
        <f ca="1">(AH28*AH47+AH29*AH48+AH30*AH49+AH31*AH50)/(AH28+SUM(AH29:AH31))-OtherAssump!$C$10</f>
        <v>7.3684733888040019E-2</v>
      </c>
      <c r="AI51" s="48">
        <f ca="1">(AI28*AI47+AI29*AI48+AI30*AI49+AI31*AI50)/(AI28+SUM(AI29:AI31))-OtherAssump!$C$10</f>
        <v>7.3865965825987132E-2</v>
      </c>
      <c r="AJ51" s="48">
        <f ca="1">(AJ28*AJ47+AJ29*AJ48+AJ30*AJ49+AJ31*AJ50)/(AJ28+SUM(AJ29:AJ31))-OtherAssump!$C$10</f>
        <v>7.4046955803814776E-2</v>
      </c>
      <c r="AK51" s="48">
        <f ca="1">(AK28*AK47+AK29*AK48+AK30*AK49+AK31*AK50)/(AK28+SUM(AK29:AK31))-OtherAssump!$C$10</f>
        <v>7.4227958133969207E-2</v>
      </c>
      <c r="AL51" s="48">
        <f ca="1">(AL28*AL47+AL29*AL48+AL30*AL49+AL31*AL50)/(AL28+SUM(AL29:AL31))-OtherAssump!$C$10</f>
        <v>7.4409100141981654E-2</v>
      </c>
      <c r="AM51" s="48">
        <f ca="1">(AM28*AM47+AM29*AM48+AM30*AM49+AM31*AM50)/(AM28+SUM(AM29:AM31))-OtherAssump!$C$10</f>
        <v>7.4597203298062756E-2</v>
      </c>
      <c r="AN51" s="48">
        <f ca="1">(AN28*AN47+AN29*AN48+AN30*AN49+AN31*AN50)/(AN28+SUM(AN29:AN31))-OtherAssump!$C$10</f>
        <v>7.4779467535867519E-2</v>
      </c>
      <c r="AO51" s="48">
        <f ca="1">(AO28*AO47+AO29*AO48+AO30*AO49+AO31*AO50)/(AO28+SUM(AO29:AO31))-OtherAssump!$C$10</f>
        <v>7.4961217602366848E-2</v>
      </c>
      <c r="AP51" s="48">
        <f ca="1">(AP28*AP47+AP29*AP48+AP30*AP49+AP31*AP50)/(AP28+SUM(AP29:AP31))-OtherAssump!$C$10</f>
        <v>7.5143860230575968E-2</v>
      </c>
      <c r="AQ51" s="48">
        <f ca="1">(AQ28*AQ47+AQ29*AQ48+AQ30*AQ49+AQ31*AQ50)/(AQ28+SUM(AQ29:AQ31))-OtherAssump!$C$10</f>
        <v>7.5325929316119214E-2</v>
      </c>
      <c r="AR51" s="48">
        <f ca="1">(AR28*AR47+AR29*AR48+AR30*AR49+AR31*AR50)/(AR28+SUM(AR29:AR31))-OtherAssump!$C$10</f>
        <v>7.5507960594136211E-2</v>
      </c>
      <c r="AS51" s="48">
        <f ca="1">(AS28*AS47+AS29*AS48+AS30*AS49+AS31*AS50)/(AS28+SUM(AS29:AS31))-OtherAssump!$C$10</f>
        <v>7.5508250702771382E-2</v>
      </c>
      <c r="AT51" s="48">
        <f ca="1">(AT28*AT47+AT29*AT48+AT30*AT49+AT31*AT50)/(AT28+SUM(AT29:AT31))-OtherAssump!$C$10</f>
        <v>7.5508948320995112E-2</v>
      </c>
      <c r="AU51" s="48">
        <f ca="1">(AU28*AU47+AU29*AU48+AU30*AU49+AU31*AU50)/(AU28+SUM(AU29:AU31))-OtherAssump!$C$10</f>
        <v>7.5509036698952384E-2</v>
      </c>
      <c r="AV51" s="48">
        <f ca="1">(AV28*AV47+AV29*AV48+AV30*AV49+AV31*AV50)/(AV28+SUM(AV29:AV31))-OtherAssump!$C$10</f>
        <v>7.55093095262592E-2</v>
      </c>
      <c r="AW51" s="48">
        <f ca="1">(AW28*AW47+AW29*AW48+AW30*AW49+AW31*AW50)/(AW28+SUM(AW29:AW31))-OtherAssump!$C$10</f>
        <v>7.550964606923434E-2</v>
      </c>
      <c r="AX51" s="48">
        <f ca="1">(AX28*AX47+AX29*AX48+AX30*AX49+AX31*AX50)/(AX28+SUM(AX29:AX31))-OtherAssump!$C$10</f>
        <v>7.5509976106389057E-2</v>
      </c>
      <c r="AY51" s="48">
        <f ca="1">(AY28*AY47+AY29*AY48+AY30*AY49+AY31*AY50)/(AY28+SUM(AY29:AY31))-OtherAssump!$C$10</f>
        <v>7.5524174110107839E-2</v>
      </c>
      <c r="AZ51" s="48">
        <f ca="1">(AZ28*AZ47+AZ29*AZ48+AZ30*AZ49+AZ31*AZ50)/(AZ28+SUM(AZ29:AZ31))-OtherAssump!$C$10</f>
        <v>7.5524174110107839E-2</v>
      </c>
      <c r="BA51" s="48">
        <f ca="1">(BA28*BA47+BA29*BA48+BA30*BA49+BA31*BA50)/(BA28+SUM(BA29:BA31))-OtherAssump!$C$10</f>
        <v>7.5524174110107839E-2</v>
      </c>
      <c r="BB51" s="48">
        <f ca="1">(BB28*BB47+BB29*BB48+BB30*BB49+BB31*BB50)/(BB28+SUM(BB29:BB31))-OtherAssump!$C$10</f>
        <v>7.5524174110107839E-2</v>
      </c>
      <c r="BC51" s="48">
        <f ca="1">(BC28*BC47+BC29*BC48+BC30*BC49+BC31*BC50)/(BC28+SUM(BC29:BC31))-OtherAssump!$C$10</f>
        <v>7.5524174110107839E-2</v>
      </c>
      <c r="BD51" s="48">
        <f ca="1">(BD28*BD47+BD29*BD48+BD30*BD49+BD31*BD50)/(BD28+SUM(BD29:BD31))-OtherAssump!$C$10</f>
        <v>7.5524174110107839E-2</v>
      </c>
      <c r="BE51" s="48">
        <f ca="1">(BE28*BE47+BE29*BE48+BE30*BE49+BE31*BE50)/(BE28+SUM(BE29:BE31))-OtherAssump!$C$10</f>
        <v>7.5524174110107839E-2</v>
      </c>
      <c r="BF51" s="48">
        <f ca="1">(BF28*BF47+BF29*BF48+BF30*BF49+BF31*BF50)/(BF28+SUM(BF29:BF31))-OtherAssump!$C$10</f>
        <v>7.5524174110107839E-2</v>
      </c>
      <c r="BG51" s="48">
        <f ca="1">(BG28*BG47+BG29*BG48+BG30*BG49+BG31*BG50)/(BG28+SUM(BG29:BG31))-OtherAssump!$C$10</f>
        <v>7.5524174110107839E-2</v>
      </c>
      <c r="BH51" s="48">
        <f ca="1">(BH28*BH47+BH29*BH48+BH30*BH49+BH31*BH50)/(BH28+SUM(BH29:BH31))-OtherAssump!$C$10</f>
        <v>7.5524174110107839E-2</v>
      </c>
      <c r="BI51" s="48">
        <f ca="1">(BI28*BI47+BI29*BI48+BI30*BI49+BI31*BI50)/(BI28+SUM(BI29:BI31))-OtherAssump!$C$10</f>
        <v>7.5524174110107839E-2</v>
      </c>
      <c r="BJ51" s="48">
        <f ca="1">(BJ28*BJ47+BJ29*BJ48+BJ30*BJ49+BJ31*BJ50)/(BJ28+SUM(BJ29:BJ31))-OtherAssump!$C$10</f>
        <v>7.5524174110107839E-2</v>
      </c>
      <c r="BK51" s="48">
        <f ca="1">(BK28*BK47+BK29*BK48+BK30*BK49+BK31*BK50)/(BK28+SUM(BK29:BK31))-OtherAssump!$C$10</f>
        <v>7.5524174110107839E-2</v>
      </c>
      <c r="BL51" s="48">
        <f ca="1">(BL28*BL47+BL29*BL48+BL30*BL49+BL31*BL50)/(BL28+SUM(BL29:BL31))-OtherAssump!$C$10</f>
        <v>7.5524174110107839E-2</v>
      </c>
      <c r="BM51" s="48">
        <f ca="1">(BM28*BM47+BM29*BM48+BM30*BM49+BM31*BM50)/(BM28+SUM(BM29:BM31))-OtherAssump!$C$10</f>
        <v>7.5524174110107839E-2</v>
      </c>
      <c r="BN51" s="48">
        <f ca="1">(BN28*BN47+BN29*BN48+BN30*BN49+BN31*BN50)/(BN28+SUM(BN29:BN31))-OtherAssump!$C$10</f>
        <v>7.5524174110107839E-2</v>
      </c>
      <c r="BO51" s="48">
        <f ca="1">(BO28*BO47+BO29*BO48+BO30*BO49+BO31*BO50)/(BO28+SUM(BO29:BO31))-OtherAssump!$C$10</f>
        <v>7.5524174110107839E-2</v>
      </c>
      <c r="BP51" s="48">
        <f ca="1">(BP28*BP47+BP29*BP48+BP30*BP49+BP31*BP50)/(BP28+SUM(BP29:BP31))-OtherAssump!$C$10</f>
        <v>7.5524174110107839E-2</v>
      </c>
      <c r="BQ51" s="48">
        <f ca="1">(BQ28*BQ47+BQ29*BQ48+BQ30*BQ49+BQ31*BQ50)/(BQ28+SUM(BQ29:BQ31))-OtherAssump!$C$10</f>
        <v>7.5524174110107839E-2</v>
      </c>
      <c r="BR51" s="48">
        <f ca="1">(BR28*BR47+BR29*BR48+BR30*BR49+BR31*BR50)/(BR28+SUM(BR29:BR31))-OtherAssump!$C$10</f>
        <v>7.5524174110107839E-2</v>
      </c>
      <c r="BS51" s="48">
        <f ca="1">(BS28*BS47+BS29*BS48+BS30*BS49+BS31*BS50)/(BS28+SUM(BS29:BS31))-OtherAssump!$C$10</f>
        <v>7.5524174110107839E-2</v>
      </c>
      <c r="BT51" s="48">
        <f ca="1">(BT28*BT47+BT29*BT48+BT30*BT49+BT31*BT50)/(BT28+SUM(BT29:BT31))-OtherAssump!$C$10</f>
        <v>7.5524174110107839E-2</v>
      </c>
      <c r="BU51" s="48">
        <f ca="1">(BU28*BU47+BU29*BU48+BU30*BU49+BU31*BU50)/(BU28+SUM(BU29:BU31))-OtherAssump!$C$10</f>
        <v>7.5524174110107839E-2</v>
      </c>
      <c r="BV51" s="48">
        <f ca="1">(BV28*BV47+BV29*BV48+BV30*BV49+BV31*BV50)/(BV28+SUM(BV29:BV31))-OtherAssump!$C$10</f>
        <v>7.5524174110107839E-2</v>
      </c>
      <c r="BW51" s="48">
        <f ca="1">(BW28*BW47+BW29*BW48+BW30*BW49+BW31*BW50)/(BW28+SUM(BW29:BW31))-OtherAssump!$C$10</f>
        <v>7.5524174110107839E-2</v>
      </c>
      <c r="BX51" s="48">
        <f ca="1">(BX28*BX47+BX29*BX48+BX30*BX49+BX31*BX50)/(BX28+SUM(BX29:BX31))-OtherAssump!$C$10</f>
        <v>7.5524174110107839E-2</v>
      </c>
      <c r="BY51" s="48">
        <f ca="1">(BY28*BY47+BY29*BY48+BY30*BY49+BY31*BY50)/(BY28+SUM(BY29:BY31))-OtherAssump!$C$10</f>
        <v>7.5524174110107839E-2</v>
      </c>
      <c r="BZ51" s="48">
        <f ca="1">(BZ28*BZ47+BZ29*BZ48+BZ30*BZ49+BZ31*BZ50)/(BZ28+SUM(BZ29:BZ31))-OtherAssump!$C$10</f>
        <v>7.5524174110107839E-2</v>
      </c>
      <c r="CA51" s="48">
        <f ca="1">(CA28*CA47+CA29*CA48+CA30*CA49+CA31*CA50)/(CA28+SUM(CA29:CA31))-OtherAssump!$C$10</f>
        <v>7.5524174110107839E-2</v>
      </c>
      <c r="CB51" s="48">
        <f ca="1">(CB28*CB47+CB29*CB48+CB30*CB49+CB31*CB50)/(CB28+SUM(CB29:CB31))-OtherAssump!$C$10</f>
        <v>7.5524174110107839E-2</v>
      </c>
      <c r="CC51" s="48">
        <f ca="1">(CC28*CC47+CC29*CC48+CC30*CC49+CC31*CC50)/(CC28+SUM(CC29:CC31))-OtherAssump!$C$10</f>
        <v>7.5524174110107839E-2</v>
      </c>
      <c r="CD51" s="48">
        <f ca="1">(CD28*CD47+CD29*CD48+CD30*CD49+CD31*CD50)/(CD28+SUM(CD29:CD31))-OtherAssump!$C$10</f>
        <v>7.5524174110107839E-2</v>
      </c>
      <c r="CE51" s="48">
        <f ca="1">(CE28*CE47+CE29*CE48+CE30*CE49+CE31*CE50)/(CE28+SUM(CE29:CE31))-OtherAssump!$C$10</f>
        <v>7.5524174110107839E-2</v>
      </c>
      <c r="CF51" s="48">
        <f ca="1">(CF28*CF47+CF29*CF48+CF30*CF49+CF31*CF50)/(CF28+SUM(CF29:CF31))-OtherAssump!$C$10</f>
        <v>7.5524174110107839E-2</v>
      </c>
      <c r="CG51" s="48">
        <f ca="1">(CG28*CG47+CG29*CG48+CG30*CG49+CG31*CG50)/(CG28+SUM(CG29:CG31))-OtherAssump!$C$10</f>
        <v>7.5524174110107839E-2</v>
      </c>
      <c r="CH51" s="48">
        <f ca="1">(CH28*CH47+CH29*CH48+CH30*CH49+CH31*CH50)/(CH28+SUM(CH29:CH31))-OtherAssump!$C$10</f>
        <v>7.5524174110107839E-2</v>
      </c>
      <c r="CI51" s="48">
        <f ca="1">(CI28*CI47+CI29*CI48+CI30*CI49+CI31*CI50)/(CI28+SUM(CI29:CI31))-OtherAssump!$C$10</f>
        <v>7.5524174110107839E-2</v>
      </c>
      <c r="CJ51" s="48">
        <f ca="1">(CJ28*CJ47+CJ29*CJ48+CJ30*CJ49+CJ31*CJ50)/(CJ28+SUM(CJ29:CJ31))-OtherAssump!$C$10</f>
        <v>7.5524174110107839E-2</v>
      </c>
      <c r="CK51" s="48">
        <f ca="1">(CK28*CK47+CK29*CK48+CK30*CK49+CK31*CK50)/(CK28+SUM(CK29:CK31))-OtherAssump!$C$10</f>
        <v>7.5524174110107839E-2</v>
      </c>
      <c r="CL51" s="48">
        <f ca="1">(CL28*CL47+CL29*CL48+CL30*CL49+CL31*CL50)/(CL28+SUM(CL29:CL31))-OtherAssump!$C$10</f>
        <v>7.5524174110107839E-2</v>
      </c>
      <c r="CM51" s="48">
        <f ca="1">(CM28*CM47+CM29*CM48+CM30*CM49+CM31*CM50)/(CM28+SUM(CM29:CM31))-OtherAssump!$C$10</f>
        <v>7.5524174110107839E-2</v>
      </c>
      <c r="CN51" s="48">
        <f ca="1">(CN28*CN47+CN29*CN48+CN30*CN49+CN31*CN50)/(CN28+SUM(CN29:CN31))-OtherAssump!$C$10</f>
        <v>7.5524174110107839E-2</v>
      </c>
      <c r="CO51" s="48">
        <f ca="1">(CO28*CO47+CO29*CO48+CO30*CO49+CO31*CO50)/(CO28+SUM(CO29:CO31))-OtherAssump!$C$10</f>
        <v>7.5524174110107839E-2</v>
      </c>
      <c r="CP51" s="48">
        <f ca="1">(CP28*CP47+CP29*CP48+CP30*CP49+CP31*CP50)/(CP28+SUM(CP29:CP31))-OtherAssump!$C$10</f>
        <v>7.5524174110107839E-2</v>
      </c>
      <c r="CQ51" s="48">
        <f ca="1">(CQ28*CQ47+CQ29*CQ48+CQ30*CQ49+CQ31*CQ50)/(CQ28+SUM(CQ29:CQ31))-OtherAssump!$C$10</f>
        <v>7.5524174110107839E-2</v>
      </c>
      <c r="CR51" s="48">
        <f ca="1">(CR28*CR47+CR29*CR48+CR30*CR49+CR31*CR50)/(CR28+SUM(CR29:CR31))-OtherAssump!$C$10</f>
        <v>7.5524174110107839E-2</v>
      </c>
      <c r="CS51" s="48">
        <f ca="1">(CS28*CS47+CS29*CS48+CS30*CS49+CS31*CS50)/(CS28+SUM(CS29:CS31))-OtherAssump!$C$10</f>
        <v>7.5524174110107839E-2</v>
      </c>
      <c r="CT51" s="48">
        <f ca="1">(CT28*CT47+CT29*CT48+CT30*CT49+CT31*CT50)/(CT28+SUM(CT29:CT31))-OtherAssump!$C$10</f>
        <v>7.5524174110107839E-2</v>
      </c>
      <c r="CU51" s="48">
        <f ca="1">(CU28*CU47+CU29*CU48+CU30*CU49+CU31*CU50)/(CU28+SUM(CU29:CU31))-OtherAssump!$C$10</f>
        <v>7.5524174110107839E-2</v>
      </c>
      <c r="CV51" s="48">
        <f ca="1">(CV28*CV47+CV29*CV48+CV30*CV49+CV31*CV50)/(CV28+SUM(CV29:CV31))-OtherAssump!$C$10</f>
        <v>7.5524174110107839E-2</v>
      </c>
      <c r="CW51" s="48">
        <f ca="1">(CW28*CW47+CW29*CW48+CW30*CW49+CW31*CW50)/(CW28+SUM(CW29:CW31))-OtherAssump!$C$10</f>
        <v>7.5524174110107839E-2</v>
      </c>
      <c r="CX51" s="48">
        <f ca="1">(CX28*CX47+CX29*CX48+CX30*CX49+CX31*CX50)/(CX28+SUM(CX29:CX31))-OtherAssump!$C$10</f>
        <v>7.5524174110107839E-2</v>
      </c>
      <c r="CY51" s="48">
        <f ca="1">(CY28*CY47+CY29*CY48+CY30*CY49+CY31*CY50)/(CY28+SUM(CY29:CY31))-OtherAssump!$C$10</f>
        <v>7.5524174110107839E-2</v>
      </c>
      <c r="CZ51" s="48">
        <f ca="1">(CZ28*CZ47+CZ29*CZ48+CZ30*CZ49+CZ31*CZ50)/(CZ28+SUM(CZ29:CZ31))-OtherAssump!$C$10</f>
        <v>7.5524174110107839E-2</v>
      </c>
      <c r="DA51" s="48">
        <f ca="1">(DA28*DA47+DA29*DA48+DA30*DA49+DA31*DA50)/(DA28+SUM(DA29:DA31))-OtherAssump!$C$10</f>
        <v>7.5524174110107839E-2</v>
      </c>
      <c r="DB51" s="48">
        <f ca="1">(DB28*DB47+DB29*DB48+DB30*DB49+DB31*DB50)/(DB28+SUM(DB29:DB31))-OtherAssump!$C$10</f>
        <v>7.5524174110107839E-2</v>
      </c>
      <c r="DC51" s="48">
        <f ca="1">(DC28*DC47+DC29*DC48+DC30*DC49+DC31*DC50)/(DC28+SUM(DC29:DC31))-OtherAssump!$C$10</f>
        <v>7.5524174110107839E-2</v>
      </c>
      <c r="DD51" s="48">
        <f ca="1">(DD28*DD47+DD29*DD48+DD30*DD49+DD31*DD50)/(DD28+SUM(DD29:DD31))-OtherAssump!$C$10</f>
        <v>7.5524174110107839E-2</v>
      </c>
      <c r="DE51" s="48">
        <f ca="1">(DE28*DE47+DE29*DE48+DE30*DE49+DE31*DE50)/(DE28+SUM(DE29:DE31))-OtherAssump!$C$10</f>
        <v>7.5524174110107839E-2</v>
      </c>
      <c r="DF51" s="48">
        <f ca="1">(DF28*DF47+DF29*DF48+DF30*DF49+DF31*DF50)/(DF28+SUM(DF29:DF31))-OtherAssump!$C$10</f>
        <v>7.5524174110107839E-2</v>
      </c>
      <c r="DG51" s="48">
        <f ca="1">(DG28*DG47+DG29*DG48+DG30*DG49+DG31*DG50)/(DG28+SUM(DG29:DG31))-OtherAssump!$C$10</f>
        <v>7.5524174110107839E-2</v>
      </c>
      <c r="DH51" s="48">
        <f ca="1">(DH28*DH47+DH29*DH48+DH30*DH49+DH31*DH50)/(DH28+SUM(DH29:DH31))-OtherAssump!$C$10</f>
        <v>7.5524174110107839E-2</v>
      </c>
      <c r="DI51" s="48">
        <f ca="1">(DI28*DI47+DI29*DI48+DI30*DI49+DI31*DI50)/(DI28+SUM(DI29:DI31))-OtherAssump!$C$10</f>
        <v>7.5524174110107839E-2</v>
      </c>
      <c r="DJ51" s="48">
        <f ca="1">(DJ28*DJ47+DJ29*DJ48+DJ30*DJ49+DJ31*DJ50)/(DJ28+SUM(DJ29:DJ31))-OtherAssump!$C$10</f>
        <v>7.5524174110107839E-2</v>
      </c>
      <c r="DK51" s="48">
        <f ca="1">(DK28*DK47+DK29*DK48+DK30*DK49+DK31*DK50)/(DK28+SUM(DK29:DK31))-OtherAssump!$C$10</f>
        <v>7.5524174110107839E-2</v>
      </c>
      <c r="DL51" s="48">
        <f ca="1">(DL28*DL47+DL29*DL48+DL30*DL49+DL31*DL50)/(DL28+SUM(DL29:DL31))-OtherAssump!$C$10</f>
        <v>7.5524174110107839E-2</v>
      </c>
      <c r="DM51" s="48">
        <f ca="1">(DM28*DM47+DM29*DM48+DM30*DM49+DM31*DM50)/(DM28+SUM(DM29:DM31))-OtherAssump!$C$10</f>
        <v>7.5524174110107839E-2</v>
      </c>
      <c r="DN51" s="48">
        <f ca="1">(DN28*DN47+DN29*DN48+DN30*DN49+DN31*DN50)/(DN28+SUM(DN29:DN31))-OtherAssump!$C$10</f>
        <v>7.5524174110107839E-2</v>
      </c>
      <c r="DO51" s="48">
        <f ca="1">(DO28*DO47+DO29*DO48+DO30*DO49+DO31*DO50)/(DO28+SUM(DO29:DO31))-OtherAssump!$C$10</f>
        <v>7.5524174110107839E-2</v>
      </c>
      <c r="DP51" s="48">
        <f ca="1">(DP28*DP47+DP29*DP48+DP30*DP49+DP31*DP50)/(DP28+SUM(DP29:DP31))-OtherAssump!$C$10</f>
        <v>7.5524174110107839E-2</v>
      </c>
      <c r="DQ51" s="48">
        <f ca="1">(DQ28*DQ47+DQ29*DQ48+DQ30*DQ49+DQ31*DQ50)/(DQ28+SUM(DQ29:DQ31))-OtherAssump!$C$10</f>
        <v>7.5524174110107839E-2</v>
      </c>
      <c r="DR51" s="48">
        <f ca="1">(DR28*DR47+DR29*DR48+DR30*DR49+DR31*DR50)/(DR28+SUM(DR29:DR31))-OtherAssump!$C$10</f>
        <v>7.5524174110107839E-2</v>
      </c>
      <c r="DS51" s="48">
        <f ca="1">(DS28*DS47+DS29*DS48+DS30*DS49+DS31*DS50)/(DS28+SUM(DS29:DS31))-OtherAssump!$C$10</f>
        <v>7.5524174110107839E-2</v>
      </c>
      <c r="DT51" s="48">
        <f ca="1">(DT28*DT47+DT29*DT48+DT30*DT49+DT31*DT50)/(DT28+SUM(DT29:DT31))-OtherAssump!$C$10</f>
        <v>7.5524174110107839E-2</v>
      </c>
      <c r="DU51" s="48">
        <f ca="1">(DU28*DU47+DU29*DU48+DU30*DU49+DU31*DU50)/(DU28+SUM(DU29:DU31))-OtherAssump!$C$10</f>
        <v>7.5524174110107839E-2</v>
      </c>
      <c r="DV51" s="48">
        <f ca="1">(DV28*DV47+DV29*DV48+DV30*DV49+DV31*DV50)/(DV28+SUM(DV29:DV31))-OtherAssump!$C$10</f>
        <v>7.5524174110107839E-2</v>
      </c>
      <c r="DW51" s="48">
        <f ca="1">(DW28*DW47+DW29*DW48+DW30*DW49+DW31*DW50)/(DW28+SUM(DW29:DW31))-OtherAssump!$C$10</f>
        <v>7.5524174110107839E-2</v>
      </c>
      <c r="DX51" s="48">
        <f ca="1">(DX28*DX47+DX29*DX48+DX30*DX49+DX31*DX50)/(DX28+SUM(DX29:DX31))-OtherAssump!$C$10</f>
        <v>7.5524174110107839E-2</v>
      </c>
      <c r="DY51" s="48">
        <f ca="1">(DY28*DY47+DY29*DY48+DY30*DY49+DY31*DY50)/(DY28+SUM(DY29:DY31))-OtherAssump!$C$10</f>
        <v>7.5524174110107839E-2</v>
      </c>
      <c r="DZ51" s="48">
        <f ca="1">(DZ28*DZ47+DZ29*DZ48+DZ30*DZ49+DZ31*DZ50)/(DZ28+SUM(DZ29:DZ31))-OtherAssump!$C$10</f>
        <v>7.5524174110107839E-2</v>
      </c>
      <c r="EA51" s="48">
        <f ca="1">(EA28*EA47+EA29*EA48+EA30*EA49+EA31*EA50)/(EA28+SUM(EA29:EA31))-OtherAssump!$C$10</f>
        <v>7.5524174110107839E-2</v>
      </c>
      <c r="EB51" s="48">
        <f ca="1">(EB28*EB47+EB29*EB48+EB30*EB49+EB31*EB50)/(EB28+SUM(EB29:EB31))-OtherAssump!$C$10</f>
        <v>7.5524174110107839E-2</v>
      </c>
      <c r="EC51" s="48">
        <f ca="1">(EC28*EC47+EC29*EC48+EC30*EC49+EC31*EC50)/(EC28+SUM(EC29:EC31))-OtherAssump!$C$10</f>
        <v>7.5524174110107839E-2</v>
      </c>
      <c r="ED51" s="48">
        <f ca="1">(ED28*ED47+ED29*ED48+ED30*ED49+ED31*ED50)/(ED28+SUM(ED29:ED31))-OtherAssump!$C$10</f>
        <v>7.5524174110107839E-2</v>
      </c>
      <c r="EE51" s="48">
        <f ca="1">(EE28*EE47+EE29*EE48+EE30*EE49+EE31*EE50)/(EE28+SUM(EE29:EE31))-OtherAssump!$C$10</f>
        <v>7.5524174110107839E-2</v>
      </c>
      <c r="EF51" s="48">
        <f ca="1">(EF28*EF47+EF29*EF48+EF30*EF49+EF31*EF50)/(EF28+SUM(EF29:EF31))-OtherAssump!$C$10</f>
        <v>7.5524174110107839E-2</v>
      </c>
      <c r="EG51" s="48">
        <f ca="1">(EG28*EG47+EG29*EG48+EG30*EG49+EG31*EG50)/(EG28+SUM(EG29:EG31))-OtherAssump!$C$10</f>
        <v>7.5524174110107839E-2</v>
      </c>
      <c r="EH51" s="48">
        <f ca="1">(EH28*EH47+EH29*EH48+EH30*EH49+EH31*EH50)/(EH28+SUM(EH29:EH31))-OtherAssump!$C$10</f>
        <v>7.5524174110107839E-2</v>
      </c>
      <c r="EI51" s="48">
        <f ca="1">(EI28*EI47+EI29*EI48+EI30*EI49+EI31*EI50)/(EI28+SUM(EI29:EI31))-OtherAssump!$C$10</f>
        <v>7.5524174110107839E-2</v>
      </c>
      <c r="EJ51" s="48">
        <f ca="1">(EJ28*EJ47+EJ29*EJ48+EJ30*EJ49+EJ31*EJ50)/(EJ28+SUM(EJ29:EJ31))-OtherAssump!$C$10</f>
        <v>7.5524174110107839E-2</v>
      </c>
      <c r="EK51" s="48">
        <f ca="1">(EK28*EK47+EK29*EK48+EK30*EK49+EK31*EK50)/(EK28+SUM(EK29:EK31))-OtherAssump!$C$10</f>
        <v>7.5524174110107839E-2</v>
      </c>
      <c r="EL51" s="48">
        <f ca="1">(EL28*EL47+EL29*EL48+EL30*EL49+EL31*EL50)/(EL28+SUM(EL29:EL31))-OtherAssump!$C$10</f>
        <v>7.5524174110107839E-2</v>
      </c>
    </row>
    <row r="52" spans="2:142" s="39" customFormat="1">
      <c r="B52" s="42" t="s">
        <v>23</v>
      </c>
      <c r="C52" s="41">
        <f>1</f>
        <v>1</v>
      </c>
      <c r="D52" s="40">
        <f t="shared" ref="D52:AI52" ca="1" si="26">C52*(1+C51)^(-0.5)*(1+D51)^(-0.5)</f>
        <v>0.93605832616342577</v>
      </c>
      <c r="E52" s="40">
        <f t="shared" ca="1" si="26"/>
        <v>0.87476698241023765</v>
      </c>
      <c r="F52" s="40">
        <f t="shared" ca="1" si="26"/>
        <v>0.81619914458339982</v>
      </c>
      <c r="G52" s="40">
        <f t="shared" ca="1" si="26"/>
        <v>0.76041536955705102</v>
      </c>
      <c r="H52" s="40">
        <f t="shared" ca="1" si="26"/>
        <v>0.70793405460362302</v>
      </c>
      <c r="I52" s="40">
        <f t="shared" ca="1" si="26"/>
        <v>0.65906948108709884</v>
      </c>
      <c r="J52" s="40">
        <f t="shared" ca="1" si="26"/>
        <v>0.61352563339716604</v>
      </c>
      <c r="K52" s="40">
        <f t="shared" ca="1" si="26"/>
        <v>0.5711798391309918</v>
      </c>
      <c r="L52" s="40">
        <f t="shared" ca="1" si="26"/>
        <v>0.53169481927356999</v>
      </c>
      <c r="M52" s="40">
        <f t="shared" ca="1" si="26"/>
        <v>0.49491462546385367</v>
      </c>
      <c r="N52" s="40">
        <f t="shared" ca="1" si="26"/>
        <v>0.46072901492438151</v>
      </c>
      <c r="O52" s="40">
        <f t="shared" ca="1" si="26"/>
        <v>0.42886692754907924</v>
      </c>
      <c r="P52" s="40">
        <f t="shared" ca="1" si="26"/>
        <v>0.3991632306962189</v>
      </c>
      <c r="Q52" s="40">
        <f t="shared" ca="1" si="26"/>
        <v>0.37149086833505912</v>
      </c>
      <c r="R52" s="40">
        <f t="shared" ca="1" si="26"/>
        <v>0.34572617290233659</v>
      </c>
      <c r="S52" s="40">
        <f t="shared" ca="1" si="26"/>
        <v>0.32175017997645183</v>
      </c>
      <c r="T52" s="40">
        <f t="shared" ca="1" si="26"/>
        <v>0.29944894522957244</v>
      </c>
      <c r="U52" s="40">
        <f t="shared" ca="1" si="26"/>
        <v>0.2787106789271217</v>
      </c>
      <c r="V52" s="40">
        <f t="shared" ca="1" si="26"/>
        <v>0.25942841811833756</v>
      </c>
      <c r="W52" s="40">
        <f t="shared" ca="1" si="26"/>
        <v>0.24150314840466366</v>
      </c>
      <c r="X52" s="40">
        <f t="shared" ca="1" si="26"/>
        <v>0.2248414707691602</v>
      </c>
      <c r="Y52" s="40">
        <f t="shared" ca="1" si="26"/>
        <v>0.20935198366348243</v>
      </c>
      <c r="Z52" s="40">
        <f t="shared" ca="1" si="26"/>
        <v>0.19494753224335218</v>
      </c>
      <c r="AA52" s="40">
        <f t="shared" ca="1" si="26"/>
        <v>0.1815478159768002</v>
      </c>
      <c r="AB52" s="40">
        <f t="shared" ca="1" si="26"/>
        <v>0.16907880953862262</v>
      </c>
      <c r="AC52" s="40">
        <f t="shared" ca="1" si="26"/>
        <v>0.15747206349914103</v>
      </c>
      <c r="AD52" s="40">
        <f t="shared" ca="1" si="26"/>
        <v>0.14666534864732766</v>
      </c>
      <c r="AE52" s="40">
        <f t="shared" ca="1" si="26"/>
        <v>0.13660314581733429</v>
      </c>
      <c r="AF52" s="40">
        <f t="shared" ca="1" si="26"/>
        <v>0.12723349743533949</v>
      </c>
      <c r="AG52" s="40">
        <f t="shared" ca="1" si="26"/>
        <v>0.11850441423046583</v>
      </c>
      <c r="AH52" s="40">
        <f t="shared" ca="1" si="26"/>
        <v>0.11037163656578848</v>
      </c>
      <c r="AI52" s="40">
        <f t="shared" ca="1" si="26"/>
        <v>0.10278838769534217</v>
      </c>
      <c r="AJ52" s="40">
        <f t="shared" ref="AJ52:BO52" ca="1" si="27">AI52*(1+AI51)^(-0.5)*(1+AJ51)^(-0.5)</f>
        <v>9.5710014149234093E-2</v>
      </c>
      <c r="AK52" s="40">
        <f t="shared" ca="1" si="27"/>
        <v>8.910406565565096E-2</v>
      </c>
      <c r="AL52" s="40">
        <f t="shared" ca="1" si="27"/>
        <v>8.2940081135710803E-2</v>
      </c>
      <c r="AM52" s="40">
        <f t="shared" ca="1" si="27"/>
        <v>7.7189239808806973E-2</v>
      </c>
      <c r="AN52" s="40">
        <f t="shared" ca="1" si="27"/>
        <v>7.1824767741975312E-2</v>
      </c>
      <c r="AO52" s="40">
        <f t="shared" ca="1" si="27"/>
        <v>6.6821797154621956E-2</v>
      </c>
      <c r="AP52" s="40">
        <f t="shared" ca="1" si="27"/>
        <v>6.2156773717363806E-2</v>
      </c>
      <c r="AQ52" s="40">
        <f t="shared" ca="1" si="27"/>
        <v>5.780762347118569E-2</v>
      </c>
      <c r="AR52" s="40">
        <f t="shared" ca="1" si="27"/>
        <v>5.3753684977158135E-2</v>
      </c>
      <c r="AS52" s="40">
        <f t="shared" ca="1" si="27"/>
        <v>4.9979804610351147E-2</v>
      </c>
      <c r="AT52" s="40">
        <f t="shared" ca="1" si="27"/>
        <v>4.6470855400911698E-2</v>
      </c>
      <c r="AU52" s="40">
        <f t="shared" ca="1" si="27"/>
        <v>4.3208244398273407E-2</v>
      </c>
      <c r="AV52" s="40">
        <f t="shared" ca="1" si="27"/>
        <v>4.0174687002646196E-2</v>
      </c>
      <c r="AW52" s="40">
        <f t="shared" ca="1" si="27"/>
        <v>3.7354098529108148E-2</v>
      </c>
      <c r="AX52" s="40">
        <f t="shared" ca="1" si="27"/>
        <v>3.4731527452387653E-2</v>
      </c>
      <c r="AY52" s="40">
        <f t="shared" ca="1" si="27"/>
        <v>3.2292864759630696E-2</v>
      </c>
      <c r="AZ52" s="40">
        <f t="shared" ca="1" si="27"/>
        <v>3.0025233776218855E-2</v>
      </c>
      <c r="BA52" s="40">
        <f t="shared" ca="1" si="27"/>
        <v>2.7916837667606897E-2</v>
      </c>
      <c r="BB52" s="40">
        <f t="shared" ca="1" si="27"/>
        <v>2.5956494832582801E-2</v>
      </c>
      <c r="BC52" s="40">
        <f t="shared" ca="1" si="27"/>
        <v>2.4133808850981237E-2</v>
      </c>
      <c r="BD52" s="40">
        <f t="shared" ca="1" si="27"/>
        <v>2.2439113347637797E-2</v>
      </c>
      <c r="BE52" s="40">
        <f t="shared" ca="1" si="27"/>
        <v>2.0863420728040812E-2</v>
      </c>
      <c r="BF52" s="40">
        <f t="shared" ca="1" si="27"/>
        <v>1.9398374513806976E-2</v>
      </c>
      <c r="BG52" s="40">
        <f t="shared" ca="1" si="27"/>
        <v>1.8036205025198301E-2</v>
      </c>
      <c r="BH52" s="40">
        <f t="shared" ca="1" si="27"/>
        <v>1.6769688175648417E-2</v>
      </c>
      <c r="BI52" s="40">
        <f t="shared" ca="1" si="27"/>
        <v>1.5592107159770458E-2</v>
      </c>
      <c r="BJ52" s="40">
        <f t="shared" ca="1" si="27"/>
        <v>1.4497216831663891E-2</v>
      </c>
      <c r="BK52" s="40">
        <f t="shared" ca="1" si="27"/>
        <v>1.347921058460535E-2</v>
      </c>
      <c r="BL52" s="40">
        <f t="shared" ca="1" si="27"/>
        <v>1.253268955647426E-2</v>
      </c>
      <c r="BM52" s="40">
        <f t="shared" ca="1" si="27"/>
        <v>1.1652633997598286E-2</v>
      </c>
      <c r="BN52" s="40">
        <f t="shared" ca="1" si="27"/>
        <v>1.0834376649171754E-2</v>
      </c>
      <c r="BO52" s="40">
        <f t="shared" ca="1" si="27"/>
        <v>1.0073577991062966E-2</v>
      </c>
      <c r="BP52" s="40">
        <f t="shared" ref="BP52:CU52" ca="1" si="28">BO52*(1+BO51)^(-0.5)*(1+BP51)^(-0.5)</f>
        <v>9.3662032277404446E-3</v>
      </c>
      <c r="BQ52" s="40">
        <f t="shared" ca="1" si="28"/>
        <v>8.7085008902659678E-3</v>
      </c>
      <c r="BR52" s="40">
        <f t="shared" ca="1" si="28"/>
        <v>8.0969829408729099E-3</v>
      </c>
      <c r="BS52" s="40">
        <f t="shared" ca="1" si="28"/>
        <v>7.5284062746171004E-3</v>
      </c>
      <c r="BT52" s="40">
        <f t="shared" ca="1" si="28"/>
        <v>6.9997555199966827E-3</v>
      </c>
      <c r="BU52" s="40">
        <f t="shared" ca="1" si="28"/>
        <v>6.5082270473262992E-3</v>
      </c>
      <c r="BV52" s="40">
        <f t="shared" ca="1" si="28"/>
        <v>6.0512141000561223E-3</v>
      </c>
      <c r="BW52" s="40">
        <f t="shared" ca="1" si="28"/>
        <v>5.6262929701816483E-3</v>
      </c>
      <c r="BX52" s="40">
        <f t="shared" ca="1" si="28"/>
        <v>5.2312101444273555E-3</v>
      </c>
      <c r="BY52" s="40">
        <f t="shared" ca="1" si="28"/>
        <v>4.8638703530356963E-3</v>
      </c>
      <c r="BZ52" s="40">
        <f t="shared" ca="1" si="28"/>
        <v>4.5223254577797653E-3</v>
      </c>
      <c r="CA52" s="40">
        <f t="shared" ca="1" si="28"/>
        <v>4.2047641202686611E-3</v>
      </c>
      <c r="CB52" s="40">
        <f t="shared" ca="1" si="28"/>
        <v>3.909502195752779E-3</v>
      </c>
      <c r="CC52" s="40">
        <f t="shared" ca="1" si="28"/>
        <v>3.6349738014838338E-3</v>
      </c>
      <c r="CD52" s="40">
        <f t="shared" ca="1" si="28"/>
        <v>3.3797230122618333E-3</v>
      </c>
      <c r="CE52" s="40">
        <f t="shared" ca="1" si="28"/>
        <v>3.1423961391274418E-3</v>
      </c>
      <c r="CF52" s="40">
        <f t="shared" ca="1" si="28"/>
        <v>2.9217345502507842E-3</v>
      </c>
      <c r="CG52" s="40">
        <f t="shared" ca="1" si="28"/>
        <v>2.716567995943222E-3</v>
      </c>
      <c r="CH52" s="40">
        <f t="shared" ca="1" si="28"/>
        <v>2.5258084023921817E-3</v>
      </c>
      <c r="CI52" s="40">
        <f t="shared" ca="1" si="28"/>
        <v>2.3484441012049254E-3</v>
      </c>
      <c r="CJ52" s="40">
        <f t="shared" ca="1" si="28"/>
        <v>2.1835344641584053E-3</v>
      </c>
      <c r="CK52" s="40">
        <f t="shared" ca="1" si="28"/>
        <v>2.0302049147013072E-3</v>
      </c>
      <c r="CL52" s="40">
        <f t="shared" ca="1" si="28"/>
        <v>1.8876422897524414E-3</v>
      </c>
      <c r="CM52" s="40">
        <f t="shared" ca="1" si="28"/>
        <v>1.7550905271973853E-3</v>
      </c>
      <c r="CN52" s="40">
        <f t="shared" ca="1" si="28"/>
        <v>1.6318466562125888E-3</v>
      </c>
      <c r="CO52" s="40">
        <f t="shared" ca="1" si="28"/>
        <v>1.5172570691521501E-3</v>
      </c>
      <c r="CP52" s="40">
        <f t="shared" ca="1" si="28"/>
        <v>1.4107140552257074E-3</v>
      </c>
      <c r="CQ52" s="40">
        <f t="shared" ca="1" si="28"/>
        <v>1.3116525775842621E-3</v>
      </c>
      <c r="CR52" s="40">
        <f t="shared" ca="1" si="28"/>
        <v>1.2195472767216298E-3</v>
      </c>
      <c r="CS52" s="40">
        <f t="shared" ca="1" si="28"/>
        <v>1.1339096842994602E-3</v>
      </c>
      <c r="CT52" s="40">
        <f t="shared" ca="1" si="28"/>
        <v>1.0542856326197045E-3</v>
      </c>
      <c r="CU52" s="40">
        <f t="shared" ca="1" si="28"/>
        <v>9.8025284600601744E-4</v>
      </c>
      <c r="CV52" s="40">
        <f t="shared" ref="CV52:EA52" ca="1" si="29">CU52*(1+CU51)^(-0.5)*(1+CV51)^(-0.5)</f>
        <v>9.1141870132029513E-4</v>
      </c>
      <c r="CW52" s="40">
        <f t="shared" ca="1" si="29"/>
        <v>8.4741814573754796E-4</v>
      </c>
      <c r="CX52" s="40">
        <f t="shared" ca="1" si="29"/>
        <v>7.8791176073629815E-4</v>
      </c>
      <c r="CY52" s="40">
        <f t="shared" ca="1" si="29"/>
        <v>7.3258396203713309E-4</v>
      </c>
      <c r="CZ52" s="40">
        <f t="shared" ca="1" si="29"/>
        <v>6.8114132594302259E-4</v>
      </c>
      <c r="DA52" s="40">
        <f t="shared" ca="1" si="29"/>
        <v>6.3331103320536815E-4</v>
      </c>
      <c r="DB52" s="40">
        <f t="shared" ca="1" si="29"/>
        <v>5.8883942216303204E-4</v>
      </c>
      <c r="DC52" s="40">
        <f t="shared" ca="1" si="29"/>
        <v>5.4749064348110974E-4</v>
      </c>
      <c r="DD52" s="40">
        <f t="shared" ca="1" si="29"/>
        <v>5.0904540935502944E-4</v>
      </c>
      <c r="DE52" s="40">
        <f t="shared" ca="1" si="29"/>
        <v>4.7329983054654749E-4</v>
      </c>
      <c r="DF52" s="40">
        <f t="shared" ca="1" si="29"/>
        <v>4.400643350840137E-4</v>
      </c>
      <c r="DG52" s="40">
        <f t="shared" ca="1" si="29"/>
        <v>4.0916266289237464E-4</v>
      </c>
      <c r="DH52" s="40">
        <f t="shared" ca="1" si="29"/>
        <v>3.8043093102106901E-4</v>
      </c>
      <c r="DI52" s="40">
        <f t="shared" ca="1" si="29"/>
        <v>3.5371676451237258E-4</v>
      </c>
      <c r="DJ52" s="40">
        <f t="shared" ca="1" si="29"/>
        <v>3.2887848830086871E-4</v>
      </c>
      <c r="DK52" s="40">
        <f t="shared" ca="1" si="29"/>
        <v>3.0578437585838909E-4</v>
      </c>
      <c r="DL52" s="40">
        <f t="shared" ca="1" si="29"/>
        <v>2.8431195059971205E-4</v>
      </c>
      <c r="DM52" s="40">
        <f t="shared" ca="1" si="29"/>
        <v>2.6434733634411582E-4</v>
      </c>
      <c r="DN52" s="40">
        <f t="shared" ca="1" si="29"/>
        <v>2.4578465338804465E-4</v>
      </c>
      <c r="DO52" s="40">
        <f t="shared" ca="1" si="29"/>
        <v>2.2852545698603911E-4</v>
      </c>
      <c r="DP52" s="40">
        <f t="shared" ca="1" si="29"/>
        <v>2.1247821526198778E-4</v>
      </c>
      <c r="DQ52" s="40">
        <f t="shared" ca="1" si="29"/>
        <v>1.9755782378187172E-4</v>
      </c>
      <c r="DR52" s="40">
        <f t="shared" ca="1" si="29"/>
        <v>1.8368515421360169E-4</v>
      </c>
      <c r="DS52" s="40">
        <f t="shared" ca="1" si="29"/>
        <v>1.7078663468032544E-4</v>
      </c>
      <c r="DT52" s="40">
        <f t="shared" ca="1" si="29"/>
        <v>1.5879385958166386E-4</v>
      </c>
      <c r="DU52" s="40">
        <f t="shared" ca="1" si="29"/>
        <v>1.4764322681361431E-4</v>
      </c>
      <c r="DV52" s="40">
        <f t="shared" ca="1" si="29"/>
        <v>1.3727560046316467E-4</v>
      </c>
      <c r="DW52" s="40">
        <f t="shared" ca="1" si="29"/>
        <v>1.2763599718876328E-4</v>
      </c>
      <c r="DX52" s="40">
        <f t="shared" ca="1" si="29"/>
        <v>1.1867329462340511E-4</v>
      </c>
      <c r="DY52" s="40">
        <f t="shared" ca="1" si="29"/>
        <v>1.103399602538881E-4</v>
      </c>
      <c r="DZ52" s="40">
        <f t="shared" ca="1" si="29"/>
        <v>1.0259179933838656E-4</v>
      </c>
      <c r="EA52" s="40">
        <f t="shared" ca="1" si="29"/>
        <v>9.5387720525455747E-5</v>
      </c>
      <c r="EB52" s="40">
        <f t="shared" ref="EB52:EL52" ca="1" si="30">EA52*(1+EA51)^(-0.5)*(1+EB51)^(-0.5)</f>
        <v>8.8689517931458739E-5</v>
      </c>
      <c r="EC52" s="40">
        <f t="shared" ca="1" si="30"/>
        <v>8.2461668520692006E-5</v>
      </c>
      <c r="ED52" s="40">
        <f t="shared" ca="1" si="30"/>
        <v>7.6671143713641829E-5</v>
      </c>
      <c r="EE52" s="40">
        <f t="shared" ca="1" si="30"/>
        <v>7.1287234224260725E-5</v>
      </c>
      <c r="EF52" s="40">
        <f t="shared" ca="1" si="30"/>
        <v>6.6281387197311497E-5</v>
      </c>
      <c r="EG52" s="40">
        <f t="shared" ca="1" si="30"/>
        <v>6.1627054782058187E-5</v>
      </c>
      <c r="EH52" s="40">
        <f t="shared" ca="1" si="30"/>
        <v>5.729955333923444E-5</v>
      </c>
      <c r="EI52" s="40">
        <f t="shared" ca="1" si="30"/>
        <v>5.3275932534612045E-5</v>
      </c>
      <c r="EJ52" s="40">
        <f t="shared" ca="1" si="30"/>
        <v>4.9534853624924541E-5</v>
      </c>
      <c r="EK52" s="40">
        <f t="shared" ca="1" si="30"/>
        <v>4.6056476290651343E-5</v>
      </c>
      <c r="EL52" s="40">
        <f t="shared" ca="1" si="30"/>
        <v>4.2822353415494939E-5</v>
      </c>
    </row>
    <row r="53" spans="2:142" s="39" customFormat="1" ht="15" customHeight="1">
      <c r="B53" s="47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</row>
    <row r="54" spans="2:142" s="37" customFormat="1" ht="16.5" thickBot="1">
      <c r="C54" s="38"/>
    </row>
    <row r="55" spans="2:142" s="2" customFormat="1" ht="21" thickTop="1">
      <c r="B55" s="67" t="s">
        <v>89</v>
      </c>
      <c r="D55" s="21"/>
      <c r="E55" s="21"/>
      <c r="F55" s="21"/>
      <c r="G55" s="21"/>
      <c r="H55" s="21"/>
      <c r="I55" s="21"/>
      <c r="J55" s="21"/>
    </row>
    <row r="56" spans="2:142" s="2" customFormat="1">
      <c r="D56" s="21"/>
      <c r="E56" s="21"/>
      <c r="F56" s="21"/>
      <c r="G56" s="21"/>
      <c r="H56" s="21"/>
      <c r="I56" s="21"/>
      <c r="J56" s="21"/>
    </row>
    <row r="57" spans="2:142" s="39" customFormat="1" ht="15.75" customHeight="1">
      <c r="B57" s="47" t="s">
        <v>6</v>
      </c>
      <c r="C57" s="46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</row>
    <row r="58" spans="2:142" s="39" customFormat="1">
      <c r="B58" s="44" t="s">
        <v>24</v>
      </c>
      <c r="C58" s="44">
        <v>0</v>
      </c>
      <c r="D58" s="43">
        <v>1</v>
      </c>
      <c r="E58" s="43">
        <v>2</v>
      </c>
      <c r="F58" s="43">
        <v>3</v>
      </c>
      <c r="G58" s="43">
        <v>4</v>
      </c>
      <c r="H58" s="43">
        <v>5</v>
      </c>
      <c r="I58" s="43">
        <v>6</v>
      </c>
      <c r="J58" s="43">
        <v>7</v>
      </c>
      <c r="K58" s="43">
        <v>8</v>
      </c>
      <c r="L58" s="43">
        <v>9</v>
      </c>
      <c r="M58" s="43">
        <v>10</v>
      </c>
      <c r="N58" s="43">
        <v>11</v>
      </c>
      <c r="O58" s="43">
        <v>12</v>
      </c>
      <c r="P58" s="43">
        <v>13</v>
      </c>
      <c r="Q58" s="43">
        <v>14</v>
      </c>
      <c r="R58" s="43">
        <v>15</v>
      </c>
      <c r="S58" s="43">
        <v>16</v>
      </c>
      <c r="T58" s="43">
        <v>17</v>
      </c>
      <c r="U58" s="43">
        <v>18</v>
      </c>
      <c r="V58" s="43">
        <v>19</v>
      </c>
      <c r="W58" s="43">
        <v>20</v>
      </c>
      <c r="X58" s="43">
        <v>21</v>
      </c>
      <c r="Y58" s="43">
        <v>22</v>
      </c>
      <c r="Z58" s="43">
        <v>23</v>
      </c>
      <c r="AA58" s="43">
        <v>24</v>
      </c>
      <c r="AB58" s="43">
        <v>25</v>
      </c>
      <c r="AC58" s="43">
        <v>26</v>
      </c>
      <c r="AD58" s="43">
        <v>27</v>
      </c>
      <c r="AE58" s="43">
        <v>28</v>
      </c>
      <c r="AF58" s="43">
        <v>29</v>
      </c>
      <c r="AG58" s="43">
        <v>30</v>
      </c>
      <c r="AH58" s="43">
        <v>31</v>
      </c>
      <c r="AI58" s="43">
        <v>32</v>
      </c>
      <c r="AJ58" s="43">
        <v>33</v>
      </c>
      <c r="AK58" s="43">
        <v>34</v>
      </c>
      <c r="AL58" s="43">
        <v>35</v>
      </c>
      <c r="AM58" s="43">
        <v>36</v>
      </c>
      <c r="AN58" s="43">
        <v>37</v>
      </c>
      <c r="AO58" s="43">
        <v>38</v>
      </c>
      <c r="AP58" s="43">
        <v>39</v>
      </c>
      <c r="AQ58" s="43">
        <v>40</v>
      </c>
      <c r="AR58" s="43">
        <v>41</v>
      </c>
      <c r="AS58" s="43">
        <v>42</v>
      </c>
      <c r="AT58" s="43">
        <v>43</v>
      </c>
      <c r="AU58" s="43">
        <v>44</v>
      </c>
      <c r="AV58" s="43">
        <v>45</v>
      </c>
      <c r="AW58" s="43">
        <v>46</v>
      </c>
      <c r="AX58" s="43">
        <v>47</v>
      </c>
      <c r="AY58" s="43">
        <v>48</v>
      </c>
      <c r="AZ58" s="43">
        <v>49</v>
      </c>
      <c r="BA58" s="43">
        <v>50</v>
      </c>
      <c r="BB58" s="43">
        <v>51</v>
      </c>
      <c r="BC58" s="43">
        <v>52</v>
      </c>
      <c r="BD58" s="43">
        <v>53</v>
      </c>
      <c r="BE58" s="43">
        <v>54</v>
      </c>
      <c r="BF58" s="43">
        <v>55</v>
      </c>
      <c r="BG58" s="43">
        <v>56</v>
      </c>
      <c r="BH58" s="43">
        <v>57</v>
      </c>
      <c r="BI58" s="43">
        <v>58</v>
      </c>
      <c r="BJ58" s="43">
        <v>59</v>
      </c>
      <c r="BK58" s="43">
        <v>60</v>
      </c>
      <c r="BL58" s="43">
        <v>61</v>
      </c>
      <c r="BM58" s="43">
        <v>62</v>
      </c>
      <c r="BN58" s="43">
        <v>63</v>
      </c>
      <c r="BO58" s="43">
        <v>64</v>
      </c>
      <c r="BP58" s="43">
        <v>65</v>
      </c>
      <c r="BQ58" s="43">
        <v>66</v>
      </c>
      <c r="BR58" s="43">
        <v>67</v>
      </c>
      <c r="BS58" s="43">
        <v>68</v>
      </c>
      <c r="BT58" s="43">
        <v>69</v>
      </c>
      <c r="BU58" s="43">
        <v>70</v>
      </c>
      <c r="BV58" s="43">
        <v>71</v>
      </c>
      <c r="BW58" s="43">
        <v>72</v>
      </c>
      <c r="BX58" s="43">
        <v>73</v>
      </c>
      <c r="BY58" s="43">
        <v>74</v>
      </c>
      <c r="BZ58" s="43">
        <v>75</v>
      </c>
      <c r="CA58" s="43">
        <v>76</v>
      </c>
      <c r="CB58" s="43">
        <v>77</v>
      </c>
      <c r="CC58" s="43">
        <v>78</v>
      </c>
      <c r="CD58" s="43">
        <v>79</v>
      </c>
      <c r="CE58" s="43">
        <v>80</v>
      </c>
      <c r="CF58" s="43">
        <v>81</v>
      </c>
      <c r="CG58" s="43">
        <v>82</v>
      </c>
      <c r="CH58" s="43">
        <v>83</v>
      </c>
      <c r="CI58" s="43">
        <v>84</v>
      </c>
      <c r="CJ58" s="43">
        <v>85</v>
      </c>
      <c r="CK58" s="43">
        <v>86</v>
      </c>
      <c r="CL58" s="43">
        <v>87</v>
      </c>
      <c r="CM58" s="43">
        <v>88</v>
      </c>
      <c r="CN58" s="43">
        <v>89</v>
      </c>
      <c r="CO58" s="43">
        <v>90</v>
      </c>
      <c r="CP58" s="43">
        <v>91</v>
      </c>
      <c r="CQ58" s="43">
        <v>92</v>
      </c>
      <c r="CR58" s="43">
        <v>93</v>
      </c>
      <c r="CS58" s="43">
        <v>94</v>
      </c>
      <c r="CT58" s="43">
        <v>95</v>
      </c>
      <c r="CU58" s="43">
        <v>96</v>
      </c>
      <c r="CV58" s="43">
        <v>97</v>
      </c>
      <c r="CW58" s="43">
        <v>98</v>
      </c>
      <c r="CX58" s="43">
        <v>99</v>
      </c>
      <c r="CY58" s="43">
        <v>100</v>
      </c>
      <c r="CZ58" s="43">
        <v>101</v>
      </c>
      <c r="DA58" s="43">
        <v>102</v>
      </c>
      <c r="DB58" s="43">
        <v>103</v>
      </c>
      <c r="DC58" s="43">
        <v>104</v>
      </c>
      <c r="DD58" s="43">
        <v>105</v>
      </c>
      <c r="DE58" s="43">
        <v>106</v>
      </c>
      <c r="DF58" s="43">
        <v>107</v>
      </c>
      <c r="DG58" s="43">
        <v>108</v>
      </c>
      <c r="DH58" s="43">
        <v>109</v>
      </c>
      <c r="DI58" s="43">
        <v>110</v>
      </c>
      <c r="DJ58" s="43">
        <v>111</v>
      </c>
      <c r="DK58" s="43">
        <v>112</v>
      </c>
      <c r="DL58" s="43">
        <v>113</v>
      </c>
      <c r="DM58" s="43">
        <v>114</v>
      </c>
      <c r="DN58" s="43">
        <v>115</v>
      </c>
      <c r="DO58" s="43">
        <v>116</v>
      </c>
      <c r="DP58" s="43">
        <v>117</v>
      </c>
      <c r="DQ58" s="43">
        <v>118</v>
      </c>
      <c r="DR58" s="43">
        <v>119</v>
      </c>
      <c r="DS58" s="43">
        <v>120</v>
      </c>
      <c r="DT58" s="43">
        <v>121</v>
      </c>
      <c r="DU58" s="43">
        <v>122</v>
      </c>
      <c r="DV58" s="43">
        <v>123</v>
      </c>
      <c r="DW58" s="43">
        <v>124</v>
      </c>
      <c r="DX58" s="43">
        <v>125</v>
      </c>
      <c r="DY58" s="43">
        <v>126</v>
      </c>
      <c r="DZ58" s="43">
        <v>127</v>
      </c>
      <c r="EA58" s="43">
        <v>128</v>
      </c>
      <c r="EB58" s="43">
        <v>129</v>
      </c>
      <c r="EC58" s="43">
        <v>130</v>
      </c>
      <c r="ED58" s="43">
        <v>131</v>
      </c>
      <c r="EE58" s="43">
        <v>132</v>
      </c>
      <c r="EF58" s="43">
        <v>133</v>
      </c>
      <c r="EG58" s="43">
        <v>134</v>
      </c>
      <c r="EH58" s="43">
        <v>135</v>
      </c>
      <c r="EI58" s="43">
        <v>136</v>
      </c>
      <c r="EJ58" s="43">
        <v>137</v>
      </c>
      <c r="EK58" s="43">
        <v>138</v>
      </c>
      <c r="EL58" s="43">
        <v>139</v>
      </c>
    </row>
    <row r="59" spans="2:142">
      <c r="B59" s="49" t="s">
        <v>84</v>
      </c>
      <c r="C59" s="50">
        <f ca="1">IF(OtherAssump!$C$7="Y",
IF((C45-$D$45)&lt;=30,
$F$83,
IF(AND((C45-$D$45)&gt;30,(C45-$D$45)&lt;=40),
$F$83+$C$38*(C45-$D$45-30)/10,
$F$83+$C$38)),
$F$83)</f>
        <v>7.3867569310983899E-2</v>
      </c>
      <c r="D59" s="50">
        <f ca="1">IF(OtherAssump!$C$7="Y",
IF((D45-$D$45)&lt;=30,
$F$83,
IF(AND((D45-$D$45)&gt;30,(D45-$D$45)&lt;=40),
$F$83+$C$38*(D45-$D$45-30)/10,
$F$83+$C$38)),
$F$83)</f>
        <v>7.3867569310983899E-2</v>
      </c>
      <c r="E59" s="50">
        <f ca="1">IF(OtherAssump!$C$7="Y",
IF((E45-$D$45)&lt;=30,
$F$83,
IF(AND((E45-$D$45)&gt;30,(E45-$D$45)&lt;=40),
$F$83+$C$38*(E45-$D$45-30)/10,
$F$83+$C$38)),
$F$83)</f>
        <v>7.3867569310983899E-2</v>
      </c>
      <c r="F59" s="50">
        <f ca="1">IF(OtherAssump!$C$7="Y",
IF((F45-$D$45)&lt;=30,
$F$83,
IF(AND((F45-$D$45)&gt;30,(F45-$D$45)&lt;=40),
$F$83+$C$38*(F45-$D$45-30)/10,
$F$83+$C$38)),
$F$83)</f>
        <v>7.3867569310983899E-2</v>
      </c>
      <c r="G59" s="50">
        <f ca="1">IF(OtherAssump!$C$7="Y",
IF((G45-$D$45)&lt;=30,
$F$83,
IF(AND((G45-$D$45)&gt;30,(G45-$D$45)&lt;=40),
$F$83+$C$38*(G45-$D$45-30)/10,
$F$83+$C$38)),
$F$83)</f>
        <v>7.3867569310983899E-2</v>
      </c>
      <c r="H59" s="50">
        <f ca="1">IF(OtherAssump!$C$7="Y",
IF((H45-$D$45)&lt;=30,
$F$83,
IF(AND((H45-$D$45)&gt;30,(H45-$D$45)&lt;=40),
$F$83+$C$38*(H45-$D$45-30)/10,
$F$83+$C$38)),
$F$83)</f>
        <v>7.3867569310983899E-2</v>
      </c>
      <c r="I59" s="50">
        <f ca="1">IF(OtherAssump!$C$7="Y",
IF((I45-$D$45)&lt;=30,
$F$83,
IF(AND((I45-$D$45)&gt;30,(I45-$D$45)&lt;=40),
$F$83+$C$38*(I45-$D$45-30)/10,
$F$83+$C$38)),
$F$83)</f>
        <v>7.3867569310983899E-2</v>
      </c>
      <c r="J59" s="50">
        <f ca="1">IF(OtherAssump!$C$7="Y",
IF((J45-$D$45)&lt;=30,
$F$83,
IF(AND((J45-$D$45)&gt;30,(J45-$D$45)&lt;=40),
$F$83+$C$38*(J45-$D$45-30)/10,
$F$83+$C$38)),
$F$83)</f>
        <v>7.3867569310983899E-2</v>
      </c>
      <c r="K59" s="50">
        <f ca="1">IF(OtherAssump!$C$7="Y",
IF((K45-$D$45)&lt;=30,
$F$83,
IF(AND((K45-$D$45)&gt;30,(K45-$D$45)&lt;=40),
$F$83+$C$38*(K45-$D$45-30)/10,
$F$83+$C$38)),
$F$83)</f>
        <v>7.3867569310983899E-2</v>
      </c>
      <c r="L59" s="50">
        <f ca="1">IF(OtherAssump!$C$7="Y",
IF((L45-$D$45)&lt;=30,
$F$83,
IF(AND((L45-$D$45)&gt;30,(L45-$D$45)&lt;=40),
$F$83+$C$38*(L45-$D$45-30)/10,
$F$83+$C$38)),
$F$83)</f>
        <v>7.3867569310983899E-2</v>
      </c>
      <c r="M59" s="50">
        <f ca="1">IF(OtherAssump!$C$7="Y",
IF((M45-$D$45)&lt;=30,
$F$83,
IF(AND((M45-$D$45)&gt;30,(M45-$D$45)&lt;=40),
$F$83+$C$38*(M45-$D$45-30)/10,
$F$83+$C$38)),
$F$83)</f>
        <v>7.3867569310983899E-2</v>
      </c>
      <c r="N59" s="50">
        <f ca="1">IF(OtherAssump!$C$7="Y",
IF((N45-$D$45)&lt;=30,
$F$83,
IF(AND((N45-$D$45)&gt;30,(N45-$D$45)&lt;=40),
$F$83+$C$38*(N45-$D$45-30)/10,
$F$83+$C$38)),
$F$83)</f>
        <v>7.3867569310983899E-2</v>
      </c>
      <c r="O59" s="50">
        <f ca="1">IF(OtherAssump!$C$7="Y",
IF((O45-$D$45)&lt;=30,
$F$83,
IF(AND((O45-$D$45)&gt;30,(O45-$D$45)&lt;=40),
$F$83+$C$38*(O45-$D$45-30)/10,
$F$83+$C$38)),
$F$83)</f>
        <v>7.3867569310983899E-2</v>
      </c>
      <c r="P59" s="50">
        <f ca="1">IF(OtherAssump!$C$7="Y",
IF((P45-$D$45)&lt;=30,
$F$83,
IF(AND((P45-$D$45)&gt;30,(P45-$D$45)&lt;=40),
$F$83+$C$38*(P45-$D$45-30)/10,
$F$83+$C$38)),
$F$83)</f>
        <v>7.3867569310983899E-2</v>
      </c>
      <c r="Q59" s="50">
        <f ca="1">IF(OtherAssump!$C$7="Y",
IF((Q45-$D$45)&lt;=30,
$F$83,
IF(AND((Q45-$D$45)&gt;30,(Q45-$D$45)&lt;=40),
$F$83+$C$38*(Q45-$D$45-30)/10,
$F$83+$C$38)),
$F$83)</f>
        <v>7.3867569310983899E-2</v>
      </c>
      <c r="R59" s="50">
        <f ca="1">IF(OtherAssump!$C$7="Y",
IF((R45-$D$45)&lt;=30,
$F$83,
IF(AND((R45-$D$45)&gt;30,(R45-$D$45)&lt;=40),
$F$83+$C$38*(R45-$D$45-30)/10,
$F$83+$C$38)),
$F$83)</f>
        <v>7.3867569310983899E-2</v>
      </c>
      <c r="S59" s="50">
        <f ca="1">IF(OtherAssump!$C$7="Y",
IF((S45-$D$45)&lt;=30,
$F$83,
IF(AND((S45-$D$45)&gt;30,(S45-$D$45)&lt;=40),
$F$83+$C$38*(S45-$D$45-30)/10,
$F$83+$C$38)),
$F$83)</f>
        <v>7.3867569310983899E-2</v>
      </c>
      <c r="T59" s="50">
        <f ca="1">IF(OtherAssump!$C$7="Y",
IF((T45-$D$45)&lt;=30,
$F$83,
IF(AND((T45-$D$45)&gt;30,(T45-$D$45)&lt;=40),
$F$83+$C$38*(T45-$D$45-30)/10,
$F$83+$C$38)),
$F$83)</f>
        <v>7.3867569310983899E-2</v>
      </c>
      <c r="U59" s="50">
        <f ca="1">IF(OtherAssump!$C$7="Y",
IF((U45-$D$45)&lt;=30,
$F$83,
IF(AND((U45-$D$45)&gt;30,(U45-$D$45)&lt;=40),
$F$83+$C$38*(U45-$D$45-30)/10,
$F$83+$C$38)),
$F$83)</f>
        <v>7.3867569310983899E-2</v>
      </c>
      <c r="V59" s="50">
        <f ca="1">IF(OtherAssump!$C$7="Y",
IF((V45-$D$45)&lt;=30,
$F$83,
IF(AND((V45-$D$45)&gt;30,(V45-$D$45)&lt;=40),
$F$83+$C$38*(V45-$D$45-30)/10,
$F$83+$C$38)),
$F$83)</f>
        <v>7.3867569310983899E-2</v>
      </c>
      <c r="W59" s="50">
        <f ca="1">IF(OtherAssump!$C$7="Y",
IF((W45-$D$45)&lt;=30,
$F$83,
IF(AND((W45-$D$45)&gt;30,(W45-$D$45)&lt;=40),
$F$83+$C$38*(W45-$D$45-30)/10,
$F$83+$C$38)),
$F$83)</f>
        <v>7.3867569310983899E-2</v>
      </c>
      <c r="X59" s="50">
        <f ca="1">IF(OtherAssump!$C$7="Y",
IF((X45-$D$45)&lt;=30,
$F$83,
IF(AND((X45-$D$45)&gt;30,(X45-$D$45)&lt;=40),
$F$83+$C$38*(X45-$D$45-30)/10,
$F$83+$C$38)),
$F$83)</f>
        <v>7.3867569310983899E-2</v>
      </c>
      <c r="Y59" s="50">
        <f ca="1">IF(OtherAssump!$C$7="Y",
IF((Y45-$D$45)&lt;=30,
$F$83,
IF(AND((Y45-$D$45)&gt;30,(Y45-$D$45)&lt;=40),
$F$83+$C$38*(Y45-$D$45-30)/10,
$F$83+$C$38)),
$F$83)</f>
        <v>7.3867569310983899E-2</v>
      </c>
      <c r="Z59" s="50">
        <f ca="1">IF(OtherAssump!$C$7="Y",
IF((Z45-$D$45)&lt;=30,
$F$83,
IF(AND((Z45-$D$45)&gt;30,(Z45-$D$45)&lt;=40),
$F$83+$C$38*(Z45-$D$45-30)/10,
$F$83+$C$38)),
$F$83)</f>
        <v>7.3867569310983899E-2</v>
      </c>
      <c r="AA59" s="50">
        <f ca="1">IF(OtherAssump!$C$7="Y",
IF((AA45-$D$45)&lt;=30,
$F$83,
IF(AND((AA45-$D$45)&gt;30,(AA45-$D$45)&lt;=40),
$F$83+$C$38*(AA45-$D$45-30)/10,
$F$83+$C$38)),
$F$83)</f>
        <v>7.3867569310983899E-2</v>
      </c>
      <c r="AB59" s="50">
        <f ca="1">IF(OtherAssump!$C$7="Y",
IF((AB45-$D$45)&lt;=30,
$F$83,
IF(AND((AB45-$D$45)&gt;30,(AB45-$D$45)&lt;=40),
$F$83+$C$38*(AB45-$D$45-30)/10,
$F$83+$C$38)),
$F$83)</f>
        <v>7.3867569310983899E-2</v>
      </c>
      <c r="AC59" s="50">
        <f ca="1">IF(OtherAssump!$C$7="Y",
IF((AC45-$D$45)&lt;=30,
$F$83,
IF(AND((AC45-$D$45)&gt;30,(AC45-$D$45)&lt;=40),
$F$83+$C$38*(AC45-$D$45-30)/10,
$F$83+$C$38)),
$F$83)</f>
        <v>7.3867569310983899E-2</v>
      </c>
      <c r="AD59" s="50">
        <f ca="1">IF(OtherAssump!$C$7="Y",
IF((AD45-$D$45)&lt;=30,
$F$83,
IF(AND((AD45-$D$45)&gt;30,(AD45-$D$45)&lt;=40),
$F$83+$C$38*(AD45-$D$45-30)/10,
$F$83+$C$38)),
$F$83)</f>
        <v>7.3867569310983899E-2</v>
      </c>
      <c r="AE59" s="50">
        <f ca="1">IF(OtherAssump!$C$7="Y",
IF((AE45-$D$45)&lt;=30,
$F$83,
IF(AND((AE45-$D$45)&gt;30,(AE45-$D$45)&lt;=40),
$F$83+$C$38*(AE45-$D$45-30)/10,
$F$83+$C$38)),
$F$83)</f>
        <v>7.3867569310983899E-2</v>
      </c>
      <c r="AF59" s="50">
        <f ca="1">IF(OtherAssump!$C$7="Y",
IF((AF45-$D$45)&lt;=30,
$F$83,
IF(AND((AF45-$D$45)&gt;30,(AF45-$D$45)&lt;=40),
$F$83+$C$38*(AF45-$D$45-30)/10,
$F$83+$C$38)),
$F$83)</f>
        <v>7.3867569310983899E-2</v>
      </c>
      <c r="AG59" s="50">
        <f ca="1">IF(OtherAssump!$C$7="Y",
IF((AG45-$D$45)&lt;=30,
$F$83,
IF(AND((AG45-$D$45)&gt;30,(AG45-$D$45)&lt;=40),
$F$83+$C$38*(AG45-$D$45-30)/10,
$F$83+$C$38)),
$F$83)</f>
        <v>7.3867569310983899E-2</v>
      </c>
      <c r="AH59" s="50">
        <f ca="1">IF(OtherAssump!$C$7="Y",
IF((AH45-$D$45)&lt;=30,
$F$83,
IF(AND((AH45-$D$45)&gt;30,(AH45-$D$45)&lt;=40),
$F$83+$C$38*(AH45-$D$45-30)/10,
$F$83+$C$38)),
$F$83)</f>
        <v>7.3867569310983899E-2</v>
      </c>
      <c r="AI59" s="50">
        <f ca="1">IF(OtherAssump!$C$7="Y",
IF((AI45-$D$45)&lt;=30,
$F$83,
IF(AND((AI45-$D$45)&gt;30,(AI45-$D$45)&lt;=40),
$F$83+$C$38*(AI45-$D$45-30)/10,
$F$83+$C$38)),
$F$83)</f>
        <v>7.4047574982551795E-2</v>
      </c>
      <c r="AJ59" s="50">
        <f ca="1">IF(OtherAssump!$C$7="Y",
IF((AJ45-$D$45)&lt;=30,
$F$83,
IF(AND((AJ45-$D$45)&gt;30,(AJ45-$D$45)&lt;=40),
$F$83+$C$38*(AJ45-$D$45-30)/10,
$F$83+$C$38)),
$F$83)</f>
        <v>7.422758065411969E-2</v>
      </c>
      <c r="AK59" s="50">
        <f ca="1">IF(OtherAssump!$C$7="Y",
IF((AK45-$D$45)&lt;=30,
$F$83,
IF(AND((AK45-$D$45)&gt;30,(AK45-$D$45)&lt;=40),
$F$83+$C$38*(AK45-$D$45-30)/10,
$F$83+$C$38)),
$F$83)</f>
        <v>7.4407586325687586E-2</v>
      </c>
      <c r="AL59" s="50">
        <f ca="1">IF(OtherAssump!$C$7="Y",
IF((AL45-$D$45)&lt;=30,
$F$83,
IF(AND((AL45-$D$45)&gt;30,(AL45-$D$45)&lt;=40),
$F$83+$C$38*(AL45-$D$45-30)/10,
$F$83+$C$38)),
$F$83)</f>
        <v>7.4587591997255481E-2</v>
      </c>
      <c r="AM59" s="50">
        <f ca="1">IF(OtherAssump!$C$7="Y",
IF((AM45-$D$45)&lt;=30,
$F$83,
IF(AND((AM45-$D$45)&gt;30,(AM45-$D$45)&lt;=40),
$F$83+$C$38*(AM45-$D$45-30)/10,
$F$83+$C$38)),
$F$83)</f>
        <v>7.4767597668823377E-2</v>
      </c>
      <c r="AN59" s="50">
        <f ca="1">IF(OtherAssump!$C$7="Y",
IF((AN45-$D$45)&lt;=30,
$F$83,
IF(AND((AN45-$D$45)&gt;30,(AN45-$D$45)&lt;=40),
$F$83+$C$38*(AN45-$D$45-30)/10,
$F$83+$C$38)),
$F$83)</f>
        <v>7.4947603340391272E-2</v>
      </c>
      <c r="AO59" s="50">
        <f ca="1">IF(OtherAssump!$C$7="Y",
IF((AO45-$D$45)&lt;=30,
$F$83,
IF(AND((AO45-$D$45)&gt;30,(AO45-$D$45)&lt;=40),
$F$83+$C$38*(AO45-$D$45-30)/10,
$F$83+$C$38)),
$F$83)</f>
        <v>7.5127609011959168E-2</v>
      </c>
      <c r="AP59" s="50">
        <f ca="1">IF(OtherAssump!$C$7="Y",
IF((AP45-$D$45)&lt;=30,
$F$83,
IF(AND((AP45-$D$45)&gt;30,(AP45-$D$45)&lt;=40),
$F$83+$C$38*(AP45-$D$45-30)/10,
$F$83+$C$38)),
$F$83)</f>
        <v>7.5307614683527063E-2</v>
      </c>
      <c r="AQ59" s="50">
        <f ca="1">IF(OtherAssump!$C$7="Y",
IF((AQ45-$D$45)&lt;=30,
$F$83,
IF(AND((AQ45-$D$45)&gt;30,(AQ45-$D$45)&lt;=40),
$F$83+$C$38*(AQ45-$D$45-30)/10,
$F$83+$C$38)),
$F$83)</f>
        <v>7.5487620355094959E-2</v>
      </c>
      <c r="AR59" s="50">
        <f ca="1">IF(OtherAssump!$C$7="Y",
IF((AR45-$D$45)&lt;=30,
$F$83,
IF(AND((AR45-$D$45)&gt;30,(AR45-$D$45)&lt;=40),
$F$83+$C$38*(AR45-$D$45-30)/10,
$F$83+$C$38)),
$F$83)</f>
        <v>7.5667626026662854E-2</v>
      </c>
      <c r="AS59" s="50">
        <f ca="1">IF(OtherAssump!$C$7="Y",
IF((AS45-$D$45)&lt;=30,
$F$83,
IF(AND((AS45-$D$45)&gt;30,(AS45-$D$45)&lt;=40),
$F$83+$C$38*(AS45-$D$45-30)/10,
$F$83+$C$38)),
$F$83)</f>
        <v>7.5667626026662854E-2</v>
      </c>
      <c r="AT59" s="50">
        <f ca="1">IF(OtherAssump!$C$7="Y",
IF((AT45-$D$45)&lt;=30,
$F$83,
IF(AND((AT45-$D$45)&gt;30,(AT45-$D$45)&lt;=40),
$F$83+$C$38*(AT45-$D$45-30)/10,
$F$83+$C$38)),
$F$83)</f>
        <v>7.5667626026662854E-2</v>
      </c>
      <c r="AU59" s="50">
        <f ca="1">IF(OtherAssump!$C$7="Y",
IF((AU45-$D$45)&lt;=30,
$F$83,
IF(AND((AU45-$D$45)&gt;30,(AU45-$D$45)&lt;=40),
$F$83+$C$38*(AU45-$D$45-30)/10,
$F$83+$C$38)),
$F$83)</f>
        <v>7.5667626026662854E-2</v>
      </c>
      <c r="AV59" s="50">
        <f ca="1">IF(OtherAssump!$C$7="Y",
IF((AV45-$D$45)&lt;=30,
$F$83,
IF(AND((AV45-$D$45)&gt;30,(AV45-$D$45)&lt;=40),
$F$83+$C$38*(AV45-$D$45-30)/10,
$F$83+$C$38)),
$F$83)</f>
        <v>7.5667626026662854E-2</v>
      </c>
      <c r="AW59" s="50">
        <f ca="1">IF(OtherAssump!$C$7="Y",
IF((AW45-$D$45)&lt;=30,
$F$83,
IF(AND((AW45-$D$45)&gt;30,(AW45-$D$45)&lt;=40),
$F$83+$C$38*(AW45-$D$45-30)/10,
$F$83+$C$38)),
$F$83)</f>
        <v>7.5667626026662854E-2</v>
      </c>
      <c r="AX59" s="50">
        <f ca="1">IF(OtherAssump!$C$7="Y",
IF((AX45-$D$45)&lt;=30,
$F$83,
IF(AND((AX45-$D$45)&gt;30,(AX45-$D$45)&lt;=40),
$F$83+$C$38*(AX45-$D$45-30)/10,
$F$83+$C$38)),
$F$83)</f>
        <v>7.5667626026662854E-2</v>
      </c>
      <c r="AY59" s="50">
        <f ca="1">IF(OtherAssump!$C$7="Y",
IF((AY45-$D$45)&lt;=30,
$F$83,
IF(AND((AY45-$D$45)&gt;30,(AY45-$D$45)&lt;=40),
$F$83+$C$38*(AY45-$D$45-30)/10,
$F$83+$C$38)),
$F$83)</f>
        <v>7.5667626026662854E-2</v>
      </c>
      <c r="AZ59" s="50">
        <f ca="1">IF(OtherAssump!$C$7="Y",
IF((AZ45-$D$45)&lt;=30,
$F$83,
IF(AND((AZ45-$D$45)&gt;30,(AZ45-$D$45)&lt;=40),
$F$83+$C$38*(AZ45-$D$45-30)/10,
$F$83+$C$38)),
$F$83)</f>
        <v>7.5667626026662854E-2</v>
      </c>
      <c r="BA59" s="50">
        <f ca="1">IF(OtherAssump!$C$7="Y",
IF((BA45-$D$45)&lt;=30,
$F$83,
IF(AND((BA45-$D$45)&gt;30,(BA45-$D$45)&lt;=40),
$F$83+$C$38*(BA45-$D$45-30)/10,
$F$83+$C$38)),
$F$83)</f>
        <v>7.5667626026662854E-2</v>
      </c>
      <c r="BB59" s="50">
        <f ca="1">IF(OtherAssump!$C$7="Y",
IF((BB45-$D$45)&lt;=30,
$F$83,
IF(AND((BB45-$D$45)&gt;30,(BB45-$D$45)&lt;=40),
$F$83+$C$38*(BB45-$D$45-30)/10,
$F$83+$C$38)),
$F$83)</f>
        <v>7.5667626026662854E-2</v>
      </c>
      <c r="BC59" s="50">
        <f ca="1">IF(OtherAssump!$C$7="Y",
IF((BC45-$D$45)&lt;=30,
$F$83,
IF(AND((BC45-$D$45)&gt;30,(BC45-$D$45)&lt;=40),
$F$83+$C$38*(BC45-$D$45-30)/10,
$F$83+$C$38)),
$F$83)</f>
        <v>7.5667626026662854E-2</v>
      </c>
      <c r="BD59" s="50">
        <f ca="1">IF(OtherAssump!$C$7="Y",
IF((BD45-$D$45)&lt;=30,
$F$83,
IF(AND((BD45-$D$45)&gt;30,(BD45-$D$45)&lt;=40),
$F$83+$C$38*(BD45-$D$45-30)/10,
$F$83+$C$38)),
$F$83)</f>
        <v>7.5667626026662854E-2</v>
      </c>
      <c r="BE59" s="50">
        <f ca="1">IF(OtherAssump!$C$7="Y",
IF((BE45-$D$45)&lt;=30,
$F$83,
IF(AND((BE45-$D$45)&gt;30,(BE45-$D$45)&lt;=40),
$F$83+$C$38*(BE45-$D$45-30)/10,
$F$83+$C$38)),
$F$83)</f>
        <v>7.5667626026662854E-2</v>
      </c>
      <c r="BF59" s="50">
        <f ca="1">IF(OtherAssump!$C$7="Y",
IF((BF45-$D$45)&lt;=30,
$F$83,
IF(AND((BF45-$D$45)&gt;30,(BF45-$D$45)&lt;=40),
$F$83+$C$38*(BF45-$D$45-30)/10,
$F$83+$C$38)),
$F$83)</f>
        <v>7.5667626026662854E-2</v>
      </c>
      <c r="BG59" s="50">
        <f ca="1">IF(OtherAssump!$C$7="Y",
IF((BG45-$D$45)&lt;=30,
$F$83,
IF(AND((BG45-$D$45)&gt;30,(BG45-$D$45)&lt;=40),
$F$83+$C$38*(BG45-$D$45-30)/10,
$F$83+$C$38)),
$F$83)</f>
        <v>7.5667626026662854E-2</v>
      </c>
      <c r="BH59" s="50">
        <f ca="1">IF(OtherAssump!$C$7="Y",
IF((BH45-$D$45)&lt;=30,
$F$83,
IF(AND((BH45-$D$45)&gt;30,(BH45-$D$45)&lt;=40),
$F$83+$C$38*(BH45-$D$45-30)/10,
$F$83+$C$38)),
$F$83)</f>
        <v>7.5667626026662854E-2</v>
      </c>
      <c r="BI59" s="50">
        <f ca="1">IF(OtherAssump!$C$7="Y",
IF((BI45-$D$45)&lt;=30,
$F$83,
IF(AND((BI45-$D$45)&gt;30,(BI45-$D$45)&lt;=40),
$F$83+$C$38*(BI45-$D$45-30)/10,
$F$83+$C$38)),
$F$83)</f>
        <v>7.5667626026662854E-2</v>
      </c>
      <c r="BJ59" s="50">
        <f ca="1">IF(OtherAssump!$C$7="Y",
IF((BJ45-$D$45)&lt;=30,
$F$83,
IF(AND((BJ45-$D$45)&gt;30,(BJ45-$D$45)&lt;=40),
$F$83+$C$38*(BJ45-$D$45-30)/10,
$F$83+$C$38)),
$F$83)</f>
        <v>7.5667626026662854E-2</v>
      </c>
      <c r="BK59" s="50">
        <f ca="1">IF(OtherAssump!$C$7="Y",
IF((BK45-$D$45)&lt;=30,
$F$83,
IF(AND((BK45-$D$45)&gt;30,(BK45-$D$45)&lt;=40),
$F$83+$C$38*(BK45-$D$45-30)/10,
$F$83+$C$38)),
$F$83)</f>
        <v>7.5667626026662854E-2</v>
      </c>
      <c r="BL59" s="50">
        <f ca="1">IF(OtherAssump!$C$7="Y",
IF((BL45-$D$45)&lt;=30,
$F$83,
IF(AND((BL45-$D$45)&gt;30,(BL45-$D$45)&lt;=40),
$F$83+$C$38*(BL45-$D$45-30)/10,
$F$83+$C$38)),
$F$83)</f>
        <v>7.5667626026662854E-2</v>
      </c>
      <c r="BM59" s="50">
        <f ca="1">IF(OtherAssump!$C$7="Y",
IF((BM45-$D$45)&lt;=30,
$F$83,
IF(AND((BM45-$D$45)&gt;30,(BM45-$D$45)&lt;=40),
$F$83+$C$38*(BM45-$D$45-30)/10,
$F$83+$C$38)),
$F$83)</f>
        <v>7.5667626026662854E-2</v>
      </c>
      <c r="BN59" s="50">
        <f ca="1">IF(OtherAssump!$C$7="Y",
IF((BN45-$D$45)&lt;=30,
$F$83,
IF(AND((BN45-$D$45)&gt;30,(BN45-$D$45)&lt;=40),
$F$83+$C$38*(BN45-$D$45-30)/10,
$F$83+$C$38)),
$F$83)</f>
        <v>7.5667626026662854E-2</v>
      </c>
      <c r="BO59" s="50">
        <f ca="1">IF(OtherAssump!$C$7="Y",
IF((BO45-$D$45)&lt;=30,
$F$83,
IF(AND((BO45-$D$45)&gt;30,(BO45-$D$45)&lt;=40),
$F$83+$C$38*(BO45-$D$45-30)/10,
$F$83+$C$38)),
$F$83)</f>
        <v>7.5667626026662854E-2</v>
      </c>
      <c r="BP59" s="50">
        <f ca="1">IF(OtherAssump!$C$7="Y",
IF((BP45-$D$45)&lt;=30,
$F$83,
IF(AND((BP45-$D$45)&gt;30,(BP45-$D$45)&lt;=40),
$F$83+$C$38*(BP45-$D$45-30)/10,
$F$83+$C$38)),
$F$83)</f>
        <v>7.5667626026662854E-2</v>
      </c>
      <c r="BQ59" s="50">
        <f ca="1">IF(OtherAssump!$C$7="Y",
IF((BQ45-$D$45)&lt;=30,
$F$83,
IF(AND((BQ45-$D$45)&gt;30,(BQ45-$D$45)&lt;=40),
$F$83+$C$38*(BQ45-$D$45-30)/10,
$F$83+$C$38)),
$F$83)</f>
        <v>7.5667626026662854E-2</v>
      </c>
      <c r="BR59" s="50">
        <f ca="1">IF(OtherAssump!$C$7="Y",
IF((BR45-$D$45)&lt;=30,
$F$83,
IF(AND((BR45-$D$45)&gt;30,(BR45-$D$45)&lt;=40),
$F$83+$C$38*(BR45-$D$45-30)/10,
$F$83+$C$38)),
$F$83)</f>
        <v>7.5667626026662854E-2</v>
      </c>
      <c r="BS59" s="50">
        <f ca="1">IF(OtherAssump!$C$7="Y",
IF((BS45-$D$45)&lt;=30,
$F$83,
IF(AND((BS45-$D$45)&gt;30,(BS45-$D$45)&lt;=40),
$F$83+$C$38*(BS45-$D$45-30)/10,
$F$83+$C$38)),
$F$83)</f>
        <v>7.5667626026662854E-2</v>
      </c>
      <c r="BT59" s="50">
        <f ca="1">IF(OtherAssump!$C$7="Y",
IF((BT45-$D$45)&lt;=30,
$F$83,
IF(AND((BT45-$D$45)&gt;30,(BT45-$D$45)&lt;=40),
$F$83+$C$38*(BT45-$D$45-30)/10,
$F$83+$C$38)),
$F$83)</f>
        <v>7.5667626026662854E-2</v>
      </c>
      <c r="BU59" s="50">
        <f ca="1">IF(OtherAssump!$C$7="Y",
IF((BU45-$D$45)&lt;=30,
$F$83,
IF(AND((BU45-$D$45)&gt;30,(BU45-$D$45)&lt;=40),
$F$83+$C$38*(BU45-$D$45-30)/10,
$F$83+$C$38)),
$F$83)</f>
        <v>7.5667626026662854E-2</v>
      </c>
      <c r="BV59" s="50">
        <f ca="1">IF(OtherAssump!$C$7="Y",
IF((BV45-$D$45)&lt;=30,
$F$83,
IF(AND((BV45-$D$45)&gt;30,(BV45-$D$45)&lt;=40),
$F$83+$C$38*(BV45-$D$45-30)/10,
$F$83+$C$38)),
$F$83)</f>
        <v>7.5667626026662854E-2</v>
      </c>
      <c r="BW59" s="50">
        <f ca="1">IF(OtherAssump!$C$7="Y",
IF((BW45-$D$45)&lt;=30,
$F$83,
IF(AND((BW45-$D$45)&gt;30,(BW45-$D$45)&lt;=40),
$F$83+$C$38*(BW45-$D$45-30)/10,
$F$83+$C$38)),
$F$83)</f>
        <v>7.5667626026662854E-2</v>
      </c>
      <c r="BX59" s="50">
        <f ca="1">IF(OtherAssump!$C$7="Y",
IF((BX45-$D$45)&lt;=30,
$F$83,
IF(AND((BX45-$D$45)&gt;30,(BX45-$D$45)&lt;=40),
$F$83+$C$38*(BX45-$D$45-30)/10,
$F$83+$C$38)),
$F$83)</f>
        <v>7.5667626026662854E-2</v>
      </c>
      <c r="BY59" s="50">
        <f ca="1">IF(OtherAssump!$C$7="Y",
IF((BY45-$D$45)&lt;=30,
$F$83,
IF(AND((BY45-$D$45)&gt;30,(BY45-$D$45)&lt;=40),
$F$83+$C$38*(BY45-$D$45-30)/10,
$F$83+$C$38)),
$F$83)</f>
        <v>7.5667626026662854E-2</v>
      </c>
      <c r="BZ59" s="50">
        <f ca="1">IF(OtherAssump!$C$7="Y",
IF((BZ45-$D$45)&lt;=30,
$F$83,
IF(AND((BZ45-$D$45)&gt;30,(BZ45-$D$45)&lt;=40),
$F$83+$C$38*(BZ45-$D$45-30)/10,
$F$83+$C$38)),
$F$83)</f>
        <v>7.5667626026662854E-2</v>
      </c>
      <c r="CA59" s="50">
        <f ca="1">IF(OtherAssump!$C$7="Y",
IF((CA45-$D$45)&lt;=30,
$F$83,
IF(AND((CA45-$D$45)&gt;30,(CA45-$D$45)&lt;=40),
$F$83+$C$38*(CA45-$D$45-30)/10,
$F$83+$C$38)),
$F$83)</f>
        <v>7.5667626026662854E-2</v>
      </c>
      <c r="CB59" s="50">
        <f ca="1">IF(OtherAssump!$C$7="Y",
IF((CB45-$D$45)&lt;=30,
$F$83,
IF(AND((CB45-$D$45)&gt;30,(CB45-$D$45)&lt;=40),
$F$83+$C$38*(CB45-$D$45-30)/10,
$F$83+$C$38)),
$F$83)</f>
        <v>7.5667626026662854E-2</v>
      </c>
      <c r="CC59" s="50">
        <f ca="1">IF(OtherAssump!$C$7="Y",
IF((CC45-$D$45)&lt;=30,
$F$83,
IF(AND((CC45-$D$45)&gt;30,(CC45-$D$45)&lt;=40),
$F$83+$C$38*(CC45-$D$45-30)/10,
$F$83+$C$38)),
$F$83)</f>
        <v>7.5667626026662854E-2</v>
      </c>
      <c r="CD59" s="50">
        <f ca="1">IF(OtherAssump!$C$7="Y",
IF((CD45-$D$45)&lt;=30,
$F$83,
IF(AND((CD45-$D$45)&gt;30,(CD45-$D$45)&lt;=40),
$F$83+$C$38*(CD45-$D$45-30)/10,
$F$83+$C$38)),
$F$83)</f>
        <v>7.5667626026662854E-2</v>
      </c>
      <c r="CE59" s="50">
        <f ca="1">IF(OtherAssump!$C$7="Y",
IF((CE45-$D$45)&lt;=30,
$F$83,
IF(AND((CE45-$D$45)&gt;30,(CE45-$D$45)&lt;=40),
$F$83+$C$38*(CE45-$D$45-30)/10,
$F$83+$C$38)),
$F$83)</f>
        <v>7.5667626026662854E-2</v>
      </c>
      <c r="CF59" s="50">
        <f ca="1">IF(OtherAssump!$C$7="Y",
IF((CF45-$D$45)&lt;=30,
$F$83,
IF(AND((CF45-$D$45)&gt;30,(CF45-$D$45)&lt;=40),
$F$83+$C$38*(CF45-$D$45-30)/10,
$F$83+$C$38)),
$F$83)</f>
        <v>7.5667626026662854E-2</v>
      </c>
      <c r="CG59" s="50">
        <f ca="1">IF(OtherAssump!$C$7="Y",
IF((CG45-$D$45)&lt;=30,
$F$83,
IF(AND((CG45-$D$45)&gt;30,(CG45-$D$45)&lt;=40),
$F$83+$C$38*(CG45-$D$45-30)/10,
$F$83+$C$38)),
$F$83)</f>
        <v>7.5667626026662854E-2</v>
      </c>
      <c r="CH59" s="50">
        <f ca="1">IF(OtherAssump!$C$7="Y",
IF((CH45-$D$45)&lt;=30,
$F$83,
IF(AND((CH45-$D$45)&gt;30,(CH45-$D$45)&lt;=40),
$F$83+$C$38*(CH45-$D$45-30)/10,
$F$83+$C$38)),
$F$83)</f>
        <v>7.5667626026662854E-2</v>
      </c>
      <c r="CI59" s="50">
        <f ca="1">IF(OtherAssump!$C$7="Y",
IF((CI45-$D$45)&lt;=30,
$F$83,
IF(AND((CI45-$D$45)&gt;30,(CI45-$D$45)&lt;=40),
$F$83+$C$38*(CI45-$D$45-30)/10,
$F$83+$C$38)),
$F$83)</f>
        <v>7.5667626026662854E-2</v>
      </c>
      <c r="CJ59" s="50">
        <f ca="1">IF(OtherAssump!$C$7="Y",
IF((CJ45-$D$45)&lt;=30,
$F$83,
IF(AND((CJ45-$D$45)&gt;30,(CJ45-$D$45)&lt;=40),
$F$83+$C$38*(CJ45-$D$45-30)/10,
$F$83+$C$38)),
$F$83)</f>
        <v>7.5667626026662854E-2</v>
      </c>
      <c r="CK59" s="50">
        <f ca="1">IF(OtherAssump!$C$7="Y",
IF((CK45-$D$45)&lt;=30,
$F$83,
IF(AND((CK45-$D$45)&gt;30,(CK45-$D$45)&lt;=40),
$F$83+$C$38*(CK45-$D$45-30)/10,
$F$83+$C$38)),
$F$83)</f>
        <v>7.5667626026662854E-2</v>
      </c>
      <c r="CL59" s="50">
        <f ca="1">IF(OtherAssump!$C$7="Y",
IF((CL45-$D$45)&lt;=30,
$F$83,
IF(AND((CL45-$D$45)&gt;30,(CL45-$D$45)&lt;=40),
$F$83+$C$38*(CL45-$D$45-30)/10,
$F$83+$C$38)),
$F$83)</f>
        <v>7.5667626026662854E-2</v>
      </c>
      <c r="CM59" s="50">
        <f ca="1">IF(OtherAssump!$C$7="Y",
IF((CM45-$D$45)&lt;=30,
$F$83,
IF(AND((CM45-$D$45)&gt;30,(CM45-$D$45)&lt;=40),
$F$83+$C$38*(CM45-$D$45-30)/10,
$F$83+$C$38)),
$F$83)</f>
        <v>7.5667626026662854E-2</v>
      </c>
      <c r="CN59" s="50">
        <f ca="1">IF(OtherAssump!$C$7="Y",
IF((CN45-$D$45)&lt;=30,
$F$83,
IF(AND((CN45-$D$45)&gt;30,(CN45-$D$45)&lt;=40),
$F$83+$C$38*(CN45-$D$45-30)/10,
$F$83+$C$38)),
$F$83)</f>
        <v>7.5667626026662854E-2</v>
      </c>
      <c r="CO59" s="50">
        <f ca="1">IF(OtherAssump!$C$7="Y",
IF((CO45-$D$45)&lt;=30,
$F$83,
IF(AND((CO45-$D$45)&gt;30,(CO45-$D$45)&lt;=40),
$F$83+$C$38*(CO45-$D$45-30)/10,
$F$83+$C$38)),
$F$83)</f>
        <v>7.5667626026662854E-2</v>
      </c>
      <c r="CP59" s="50">
        <f ca="1">IF(OtherAssump!$C$7="Y",
IF((CP45-$D$45)&lt;=30,
$F$83,
IF(AND((CP45-$D$45)&gt;30,(CP45-$D$45)&lt;=40),
$F$83+$C$38*(CP45-$D$45-30)/10,
$F$83+$C$38)),
$F$83)</f>
        <v>7.5667626026662854E-2</v>
      </c>
      <c r="CQ59" s="50">
        <f ca="1">IF(OtherAssump!$C$7="Y",
IF((CQ45-$D$45)&lt;=30,
$F$83,
IF(AND((CQ45-$D$45)&gt;30,(CQ45-$D$45)&lt;=40),
$F$83+$C$38*(CQ45-$D$45-30)/10,
$F$83+$C$38)),
$F$83)</f>
        <v>7.5667626026662854E-2</v>
      </c>
      <c r="CR59" s="50">
        <f ca="1">IF(OtherAssump!$C$7="Y",
IF((CR45-$D$45)&lt;=30,
$F$83,
IF(AND((CR45-$D$45)&gt;30,(CR45-$D$45)&lt;=40),
$F$83+$C$38*(CR45-$D$45-30)/10,
$F$83+$C$38)),
$F$83)</f>
        <v>7.5667626026662854E-2</v>
      </c>
      <c r="CS59" s="50">
        <f ca="1">IF(OtherAssump!$C$7="Y",
IF((CS45-$D$45)&lt;=30,
$F$83,
IF(AND((CS45-$D$45)&gt;30,(CS45-$D$45)&lt;=40),
$F$83+$C$38*(CS45-$D$45-30)/10,
$F$83+$C$38)),
$F$83)</f>
        <v>7.5667626026662854E-2</v>
      </c>
      <c r="CT59" s="50">
        <f ca="1">IF(OtherAssump!$C$7="Y",
IF((CT45-$D$45)&lt;=30,
$F$83,
IF(AND((CT45-$D$45)&gt;30,(CT45-$D$45)&lt;=40),
$F$83+$C$38*(CT45-$D$45-30)/10,
$F$83+$C$38)),
$F$83)</f>
        <v>7.5667626026662854E-2</v>
      </c>
      <c r="CU59" s="50">
        <f ca="1">IF(OtherAssump!$C$7="Y",
IF((CU45-$D$45)&lt;=30,
$F$83,
IF(AND((CU45-$D$45)&gt;30,(CU45-$D$45)&lt;=40),
$F$83+$C$38*(CU45-$D$45-30)/10,
$F$83+$C$38)),
$F$83)</f>
        <v>7.5667626026662854E-2</v>
      </c>
      <c r="CV59" s="50">
        <f ca="1">IF(OtherAssump!$C$7="Y",
IF((CV45-$D$45)&lt;=30,
$F$83,
IF(AND((CV45-$D$45)&gt;30,(CV45-$D$45)&lt;=40),
$F$83+$C$38*(CV45-$D$45-30)/10,
$F$83+$C$38)),
$F$83)</f>
        <v>7.5667626026662854E-2</v>
      </c>
      <c r="CW59" s="50">
        <f ca="1">IF(OtherAssump!$C$7="Y",
IF((CW45-$D$45)&lt;=30,
$F$83,
IF(AND((CW45-$D$45)&gt;30,(CW45-$D$45)&lt;=40),
$F$83+$C$38*(CW45-$D$45-30)/10,
$F$83+$C$38)),
$F$83)</f>
        <v>7.5667626026662854E-2</v>
      </c>
      <c r="CX59" s="50">
        <f ca="1">IF(OtherAssump!$C$7="Y",
IF((CX45-$D$45)&lt;=30,
$F$83,
IF(AND((CX45-$D$45)&gt;30,(CX45-$D$45)&lt;=40),
$F$83+$C$38*(CX45-$D$45-30)/10,
$F$83+$C$38)),
$F$83)</f>
        <v>7.5667626026662854E-2</v>
      </c>
      <c r="CY59" s="50">
        <f ca="1">IF(OtherAssump!$C$7="Y",
IF((CY45-$D$45)&lt;=30,
$F$83,
IF(AND((CY45-$D$45)&gt;30,(CY45-$D$45)&lt;=40),
$F$83+$C$38*(CY45-$D$45-30)/10,
$F$83+$C$38)),
$F$83)</f>
        <v>7.5667626026662854E-2</v>
      </c>
      <c r="CZ59" s="50">
        <f ca="1">IF(OtherAssump!$C$7="Y",
IF((CZ45-$D$45)&lt;=30,
$F$83,
IF(AND((CZ45-$D$45)&gt;30,(CZ45-$D$45)&lt;=40),
$F$83+$C$38*(CZ45-$D$45-30)/10,
$F$83+$C$38)),
$F$83)</f>
        <v>7.5667626026662854E-2</v>
      </c>
      <c r="DA59" s="50">
        <f ca="1">IF(OtherAssump!$C$7="Y",
IF((DA45-$D$45)&lt;=30,
$F$83,
IF(AND((DA45-$D$45)&gt;30,(DA45-$D$45)&lt;=40),
$F$83+$C$38*(DA45-$D$45-30)/10,
$F$83+$C$38)),
$F$83)</f>
        <v>7.5667626026662854E-2</v>
      </c>
      <c r="DB59" s="50">
        <f ca="1">IF(OtherAssump!$C$7="Y",
IF((DB45-$D$45)&lt;=30,
$F$83,
IF(AND((DB45-$D$45)&gt;30,(DB45-$D$45)&lt;=40),
$F$83+$C$38*(DB45-$D$45-30)/10,
$F$83+$C$38)),
$F$83)</f>
        <v>7.5667626026662854E-2</v>
      </c>
      <c r="DC59" s="50">
        <f ca="1">IF(OtherAssump!$C$7="Y",
IF((DC45-$D$45)&lt;=30,
$F$83,
IF(AND((DC45-$D$45)&gt;30,(DC45-$D$45)&lt;=40),
$F$83+$C$38*(DC45-$D$45-30)/10,
$F$83+$C$38)),
$F$83)</f>
        <v>7.5667626026662854E-2</v>
      </c>
      <c r="DD59" s="50">
        <f ca="1">IF(OtherAssump!$C$7="Y",
IF((DD45-$D$45)&lt;=30,
$F$83,
IF(AND((DD45-$D$45)&gt;30,(DD45-$D$45)&lt;=40),
$F$83+$C$38*(DD45-$D$45-30)/10,
$F$83+$C$38)),
$F$83)</f>
        <v>7.5667626026662854E-2</v>
      </c>
      <c r="DE59" s="50">
        <f ca="1">IF(OtherAssump!$C$7="Y",
IF((DE45-$D$45)&lt;=30,
$F$83,
IF(AND((DE45-$D$45)&gt;30,(DE45-$D$45)&lt;=40),
$F$83+$C$38*(DE45-$D$45-30)/10,
$F$83+$C$38)),
$F$83)</f>
        <v>7.5667626026662854E-2</v>
      </c>
      <c r="DF59" s="50">
        <f ca="1">IF(OtherAssump!$C$7="Y",
IF((DF45-$D$45)&lt;=30,
$F$83,
IF(AND((DF45-$D$45)&gt;30,(DF45-$D$45)&lt;=40),
$F$83+$C$38*(DF45-$D$45-30)/10,
$F$83+$C$38)),
$F$83)</f>
        <v>7.5667626026662854E-2</v>
      </c>
      <c r="DG59" s="50">
        <f ca="1">IF(OtherAssump!$C$7="Y",
IF((DG45-$D$45)&lt;=30,
$F$83,
IF(AND((DG45-$D$45)&gt;30,(DG45-$D$45)&lt;=40),
$F$83+$C$38*(DG45-$D$45-30)/10,
$F$83+$C$38)),
$F$83)</f>
        <v>7.5667626026662854E-2</v>
      </c>
      <c r="DH59" s="50">
        <f ca="1">IF(OtherAssump!$C$7="Y",
IF((DH45-$D$45)&lt;=30,
$F$83,
IF(AND((DH45-$D$45)&gt;30,(DH45-$D$45)&lt;=40),
$F$83+$C$38*(DH45-$D$45-30)/10,
$F$83+$C$38)),
$F$83)</f>
        <v>7.5667626026662854E-2</v>
      </c>
      <c r="DI59" s="50">
        <f ca="1">IF(OtherAssump!$C$7="Y",
IF((DI45-$D$45)&lt;=30,
$F$83,
IF(AND((DI45-$D$45)&gt;30,(DI45-$D$45)&lt;=40),
$F$83+$C$38*(DI45-$D$45-30)/10,
$F$83+$C$38)),
$F$83)</f>
        <v>7.5667626026662854E-2</v>
      </c>
      <c r="DJ59" s="50">
        <f ca="1">IF(OtherAssump!$C$7="Y",
IF((DJ45-$D$45)&lt;=30,
$F$83,
IF(AND((DJ45-$D$45)&gt;30,(DJ45-$D$45)&lt;=40),
$F$83+$C$38*(DJ45-$D$45-30)/10,
$F$83+$C$38)),
$F$83)</f>
        <v>7.5667626026662854E-2</v>
      </c>
      <c r="DK59" s="50">
        <f ca="1">IF(OtherAssump!$C$7="Y",
IF((DK45-$D$45)&lt;=30,
$F$83,
IF(AND((DK45-$D$45)&gt;30,(DK45-$D$45)&lt;=40),
$F$83+$C$38*(DK45-$D$45-30)/10,
$F$83+$C$38)),
$F$83)</f>
        <v>7.5667626026662854E-2</v>
      </c>
      <c r="DL59" s="50">
        <f ca="1">IF(OtherAssump!$C$7="Y",
IF((DL45-$D$45)&lt;=30,
$F$83,
IF(AND((DL45-$D$45)&gt;30,(DL45-$D$45)&lt;=40),
$F$83+$C$38*(DL45-$D$45-30)/10,
$F$83+$C$38)),
$F$83)</f>
        <v>7.5667626026662854E-2</v>
      </c>
      <c r="DM59" s="50">
        <f ca="1">IF(OtherAssump!$C$7="Y",
IF((DM45-$D$45)&lt;=30,
$F$83,
IF(AND((DM45-$D$45)&gt;30,(DM45-$D$45)&lt;=40),
$F$83+$C$38*(DM45-$D$45-30)/10,
$F$83+$C$38)),
$F$83)</f>
        <v>7.5667626026662854E-2</v>
      </c>
      <c r="DN59" s="50">
        <f ca="1">IF(OtherAssump!$C$7="Y",
IF((DN45-$D$45)&lt;=30,
$F$83,
IF(AND((DN45-$D$45)&gt;30,(DN45-$D$45)&lt;=40),
$F$83+$C$38*(DN45-$D$45-30)/10,
$F$83+$C$38)),
$F$83)</f>
        <v>7.5667626026662854E-2</v>
      </c>
      <c r="DO59" s="50">
        <f ca="1">IF(OtherAssump!$C$7="Y",
IF((DO45-$D$45)&lt;=30,
$F$83,
IF(AND((DO45-$D$45)&gt;30,(DO45-$D$45)&lt;=40),
$F$83+$C$38*(DO45-$D$45-30)/10,
$F$83+$C$38)),
$F$83)</f>
        <v>7.5667626026662854E-2</v>
      </c>
      <c r="DP59" s="50">
        <f ca="1">IF(OtherAssump!$C$7="Y",
IF((DP45-$D$45)&lt;=30,
$F$83,
IF(AND((DP45-$D$45)&gt;30,(DP45-$D$45)&lt;=40),
$F$83+$C$38*(DP45-$D$45-30)/10,
$F$83+$C$38)),
$F$83)</f>
        <v>7.5667626026662854E-2</v>
      </c>
      <c r="DQ59" s="50">
        <f ca="1">IF(OtherAssump!$C$7="Y",
IF((DQ45-$D$45)&lt;=30,
$F$83,
IF(AND((DQ45-$D$45)&gt;30,(DQ45-$D$45)&lt;=40),
$F$83+$C$38*(DQ45-$D$45-30)/10,
$F$83+$C$38)),
$F$83)</f>
        <v>7.5667626026662854E-2</v>
      </c>
      <c r="DR59" s="50">
        <f ca="1">IF(OtherAssump!$C$7="Y",
IF((DR45-$D$45)&lt;=30,
$F$83,
IF(AND((DR45-$D$45)&gt;30,(DR45-$D$45)&lt;=40),
$F$83+$C$38*(DR45-$D$45-30)/10,
$F$83+$C$38)),
$F$83)</f>
        <v>7.5667626026662854E-2</v>
      </c>
      <c r="DS59" s="50">
        <f ca="1">IF(OtherAssump!$C$7="Y",
IF((DS45-$D$45)&lt;=30,
$F$83,
IF(AND((DS45-$D$45)&gt;30,(DS45-$D$45)&lt;=40),
$F$83+$C$38*(DS45-$D$45-30)/10,
$F$83+$C$38)),
$F$83)</f>
        <v>7.5667626026662854E-2</v>
      </c>
      <c r="DT59" s="50">
        <f ca="1">IF(OtherAssump!$C$7="Y",
IF((DT45-$D$45)&lt;=30,
$F$83,
IF(AND((DT45-$D$45)&gt;30,(DT45-$D$45)&lt;=40),
$F$83+$C$38*(DT45-$D$45-30)/10,
$F$83+$C$38)),
$F$83)</f>
        <v>7.5667626026662854E-2</v>
      </c>
      <c r="DU59" s="50">
        <f ca="1">IF(OtherAssump!$C$7="Y",
IF((DU45-$D$45)&lt;=30,
$F$83,
IF(AND((DU45-$D$45)&gt;30,(DU45-$D$45)&lt;=40),
$F$83+$C$38*(DU45-$D$45-30)/10,
$F$83+$C$38)),
$F$83)</f>
        <v>7.5667626026662854E-2</v>
      </c>
      <c r="DV59" s="50">
        <f ca="1">IF(OtherAssump!$C$7="Y",
IF((DV45-$D$45)&lt;=30,
$F$83,
IF(AND((DV45-$D$45)&gt;30,(DV45-$D$45)&lt;=40),
$F$83+$C$38*(DV45-$D$45-30)/10,
$F$83+$C$38)),
$F$83)</f>
        <v>7.5667626026662854E-2</v>
      </c>
      <c r="DW59" s="50">
        <f ca="1">IF(OtherAssump!$C$7="Y",
IF((DW45-$D$45)&lt;=30,
$F$83,
IF(AND((DW45-$D$45)&gt;30,(DW45-$D$45)&lt;=40),
$F$83+$C$38*(DW45-$D$45-30)/10,
$F$83+$C$38)),
$F$83)</f>
        <v>7.5667626026662854E-2</v>
      </c>
      <c r="DX59" s="50">
        <f ca="1">IF(OtherAssump!$C$7="Y",
IF((DX45-$D$45)&lt;=30,
$F$83,
IF(AND((DX45-$D$45)&gt;30,(DX45-$D$45)&lt;=40),
$F$83+$C$38*(DX45-$D$45-30)/10,
$F$83+$C$38)),
$F$83)</f>
        <v>7.5667626026662854E-2</v>
      </c>
      <c r="DY59" s="50">
        <f ca="1">IF(OtherAssump!$C$7="Y",
IF((DY45-$D$45)&lt;=30,
$F$83,
IF(AND((DY45-$D$45)&gt;30,(DY45-$D$45)&lt;=40),
$F$83+$C$38*(DY45-$D$45-30)/10,
$F$83+$C$38)),
$F$83)</f>
        <v>7.5667626026662854E-2</v>
      </c>
      <c r="DZ59" s="50">
        <f ca="1">IF(OtherAssump!$C$7="Y",
IF((DZ45-$D$45)&lt;=30,
$F$83,
IF(AND((DZ45-$D$45)&gt;30,(DZ45-$D$45)&lt;=40),
$F$83+$C$38*(DZ45-$D$45-30)/10,
$F$83+$C$38)),
$F$83)</f>
        <v>7.5667626026662854E-2</v>
      </c>
      <c r="EA59" s="50">
        <f ca="1">IF(OtherAssump!$C$7="Y",
IF((EA45-$D$45)&lt;=30,
$F$83,
IF(AND((EA45-$D$45)&gt;30,(EA45-$D$45)&lt;=40),
$F$83+$C$38*(EA45-$D$45-30)/10,
$F$83+$C$38)),
$F$83)</f>
        <v>7.5667626026662854E-2</v>
      </c>
      <c r="EB59" s="50">
        <f ca="1">IF(OtherAssump!$C$7="Y",
IF((EB45-$D$45)&lt;=30,
$F$83,
IF(AND((EB45-$D$45)&gt;30,(EB45-$D$45)&lt;=40),
$F$83+$C$38*(EB45-$D$45-30)/10,
$F$83+$C$38)),
$F$83)</f>
        <v>7.5667626026662854E-2</v>
      </c>
      <c r="EC59" s="50">
        <f ca="1">IF(OtherAssump!$C$7="Y",
IF((EC45-$D$45)&lt;=30,
$F$83,
IF(AND((EC45-$D$45)&gt;30,(EC45-$D$45)&lt;=40),
$F$83+$C$38*(EC45-$D$45-30)/10,
$F$83+$C$38)),
$F$83)</f>
        <v>7.5667626026662854E-2</v>
      </c>
      <c r="ED59" s="50">
        <f ca="1">IF(OtherAssump!$C$7="Y",
IF((ED45-$D$45)&lt;=30,
$F$83,
IF(AND((ED45-$D$45)&gt;30,(ED45-$D$45)&lt;=40),
$F$83+$C$38*(ED45-$D$45-30)/10,
$F$83+$C$38)),
$F$83)</f>
        <v>7.5667626026662854E-2</v>
      </c>
      <c r="EE59" s="50">
        <f ca="1">IF(OtherAssump!$C$7="Y",
IF((EE45-$D$45)&lt;=30,
$F$83,
IF(AND((EE45-$D$45)&gt;30,(EE45-$D$45)&lt;=40),
$F$83+$C$38*(EE45-$D$45-30)/10,
$F$83+$C$38)),
$F$83)</f>
        <v>7.5667626026662854E-2</v>
      </c>
      <c r="EF59" s="50">
        <f ca="1">IF(OtherAssump!$C$7="Y",
IF((EF45-$D$45)&lt;=30,
$F$83,
IF(AND((EF45-$D$45)&gt;30,(EF45-$D$45)&lt;=40),
$F$83+$C$38*(EF45-$D$45-30)/10,
$F$83+$C$38)),
$F$83)</f>
        <v>7.5667626026662854E-2</v>
      </c>
      <c r="EG59" s="50">
        <f ca="1">IF(OtherAssump!$C$7="Y",
IF((EG45-$D$45)&lt;=30,
$F$83,
IF(AND((EG45-$D$45)&gt;30,(EG45-$D$45)&lt;=40),
$F$83+$C$38*(EG45-$D$45-30)/10,
$F$83+$C$38)),
$F$83)</f>
        <v>7.5667626026662854E-2</v>
      </c>
      <c r="EH59" s="50">
        <f ca="1">IF(OtherAssump!$C$7="Y",
IF((EH45-$D$45)&lt;=30,
$F$83,
IF(AND((EH45-$D$45)&gt;30,(EH45-$D$45)&lt;=40),
$F$83+$C$38*(EH45-$D$45-30)/10,
$F$83+$C$38)),
$F$83)</f>
        <v>7.5667626026662854E-2</v>
      </c>
      <c r="EI59" s="50">
        <f ca="1">IF(OtherAssump!$C$7="Y",
IF((EI45-$D$45)&lt;=30,
$F$83,
IF(AND((EI45-$D$45)&gt;30,(EI45-$D$45)&lt;=40),
$F$83+$C$38*(EI45-$D$45-30)/10,
$F$83+$C$38)),
$F$83)</f>
        <v>7.5667626026662854E-2</v>
      </c>
      <c r="EJ59" s="50">
        <f ca="1">IF(OtherAssump!$C$7="Y",
IF((EJ45-$D$45)&lt;=30,
$F$83,
IF(AND((EJ45-$D$45)&gt;30,(EJ45-$D$45)&lt;=40),
$F$83+$C$38*(EJ45-$D$45-30)/10,
$F$83+$C$38)),
$F$83)</f>
        <v>7.5667626026662854E-2</v>
      </c>
      <c r="EK59" s="50">
        <f ca="1">IF(OtherAssump!$C$7="Y",
IF((EK45-$D$45)&lt;=30,
$F$83,
IF(AND((EK45-$D$45)&gt;30,(EK45-$D$45)&lt;=40),
$F$83+$C$38*(EK45-$D$45-30)/10,
$F$83+$C$38)),
$F$83)</f>
        <v>7.5667626026662854E-2</v>
      </c>
      <c r="EL59" s="50">
        <f ca="1">IF(OtherAssump!$C$7="Y",
IF((EL45-$D$45)&lt;=30,
$F$83,
IF(AND((EL45-$D$45)&gt;30,(EL45-$D$45)&lt;=40),
$F$83+$C$38*(EL45-$D$45-30)/10,
$F$83+$C$38)),
$F$83)</f>
        <v>7.5667626026662854E-2</v>
      </c>
    </row>
    <row r="60" spans="2:142" s="39" customFormat="1">
      <c r="B60" s="42" t="s">
        <v>85</v>
      </c>
      <c r="C60" s="41">
        <f>1</f>
        <v>1</v>
      </c>
      <c r="D60" s="40">
        <f t="shared" ref="D60:AI60" ca="1" si="31">C60*(1+C59)^(-0.5)*(1+D59)^(-0.5)</f>
        <v>0.93121352071524177</v>
      </c>
      <c r="E60" s="40">
        <f t="shared" ca="1" si="31"/>
        <v>0.86715862116287601</v>
      </c>
      <c r="F60" s="40">
        <f t="shared" ca="1" si="31"/>
        <v>0.80750983263165632</v>
      </c>
      <c r="G60" s="40">
        <f t="shared" ca="1" si="31"/>
        <v>0.75196407425710032</v>
      </c>
      <c r="H60" s="40">
        <f t="shared" ca="1" si="31"/>
        <v>0.70023911304033193</v>
      </c>
      <c r="I60" s="40">
        <f t="shared" ca="1" si="31"/>
        <v>0.65207212979680573</v>
      </c>
      <c r="J60" s="40">
        <f t="shared" ca="1" si="31"/>
        <v>0.60721838374836956</v>
      </c>
      <c r="K60" s="40">
        <f t="shared" ca="1" si="31"/>
        <v>0.56544996897333799</v>
      </c>
      <c r="L60" s="40">
        <f t="shared" ca="1" si="31"/>
        <v>0.52655465639598631</v>
      </c>
      <c r="M60" s="40">
        <f t="shared" ca="1" si="31"/>
        <v>0.49033481543151081</v>
      </c>
      <c r="N60" s="40">
        <f t="shared" ca="1" si="31"/>
        <v>0.45660640980723544</v>
      </c>
      <c r="O60" s="40">
        <f t="shared" ca="1" si="31"/>
        <v>0.42519806245774222</v>
      </c>
      <c r="P60" s="40">
        <f t="shared" ca="1" si="31"/>
        <v>0.39595018474257343</v>
      </c>
      <c r="Q60" s="40">
        <f t="shared" ca="1" si="31"/>
        <v>0.36871416556198222</v>
      </c>
      <c r="R60" s="40">
        <f t="shared" ca="1" si="31"/>
        <v>0.34335161625055599</v>
      </c>
      <c r="S60" s="40">
        <f t="shared" ca="1" si="31"/>
        <v>0.31973366741194886</v>
      </c>
      <c r="T60" s="40">
        <f t="shared" ca="1" si="31"/>
        <v>0.29774031412187713</v>
      </c>
      <c r="U60" s="40">
        <f t="shared" ca="1" si="31"/>
        <v>0.27725980617229523</v>
      </c>
      <c r="V60" s="40">
        <f t="shared" ca="1" si="31"/>
        <v>0.25818808025852857</v>
      </c>
      <c r="W60" s="40">
        <f t="shared" ca="1" si="31"/>
        <v>0.2404282312242538</v>
      </c>
      <c r="X60" s="40">
        <f t="shared" ca="1" si="31"/>
        <v>0.22389001967767563</v>
      </c>
      <c r="Y60" s="40">
        <f t="shared" ca="1" si="31"/>
        <v>0.2084894134770531</v>
      </c>
      <c r="Z60" s="40">
        <f t="shared" ca="1" si="31"/>
        <v>0.19414816075582239</v>
      </c>
      <c r="AA60" s="40">
        <f t="shared" ca="1" si="31"/>
        <v>0.18079339231781813</v>
      </c>
      <c r="AB60" s="40">
        <f t="shared" ca="1" si="31"/>
        <v>0.16835725138232735</v>
      </c>
      <c r="AC60" s="40">
        <f t="shared" ca="1" si="31"/>
        <v>0.15677654879767808</v>
      </c>
      <c r="AD60" s="40">
        <f t="shared" ca="1" si="31"/>
        <v>0.14599244197147071</v>
      </c>
      <c r="AE60" s="40">
        <f t="shared" ca="1" si="31"/>
        <v>0.13595013588606888</v>
      </c>
      <c r="AF60" s="40">
        <f t="shared" ca="1" si="31"/>
        <v>0.12659860468018175</v>
      </c>
      <c r="AG60" s="40">
        <f t="shared" ca="1" si="31"/>
        <v>0.11789033238186913</v>
      </c>
      <c r="AH60" s="40">
        <f t="shared" ca="1" si="31"/>
        <v>0.10978107147561043</v>
      </c>
      <c r="AI60" s="40">
        <f t="shared" ca="1" si="31"/>
        <v>0.10222105109950996</v>
      </c>
      <c r="AJ60" s="40">
        <f t="shared" ref="AJ60:BO60" ca="1" si="32">AI60*(1+AI59)^(-0.5)*(1+AJ59)^(-0.5)</f>
        <v>9.5165697178168987E-2</v>
      </c>
      <c r="AK60" s="40">
        <f t="shared" ca="1" si="32"/>
        <v>8.8582462927756456E-2</v>
      </c>
      <c r="AL60" s="40">
        <f t="shared" ca="1" si="32"/>
        <v>8.2440820837616988E-2</v>
      </c>
      <c r="AM60" s="40">
        <f t="shared" ca="1" si="32"/>
        <v>7.6712142807386197E-2</v>
      </c>
      <c r="AN60" s="40">
        <f t="shared" ca="1" si="32"/>
        <v>7.1369587041395913E-2</v>
      </c>
      <c r="AO60" s="40">
        <f t="shared" ca="1" si="32"/>
        <v>6.6387991342341843E-2</v>
      </c>
      <c r="AP60" s="40">
        <f t="shared" ca="1" si="32"/>
        <v>6.1743772463733047E-2</v>
      </c>
      <c r="AQ60" s="40">
        <f t="shared" ca="1" si="32"/>
        <v>5.7414831197415216E-2</v>
      </c>
      <c r="AR60" s="40">
        <f t="shared" ca="1" si="32"/>
        <v>5.3380462888486913E-2</v>
      </c>
      <c r="AS60" s="40">
        <f t="shared" ca="1" si="32"/>
        <v>4.9625424803073664E-2</v>
      </c>
      <c r="AT60" s="40">
        <f t="shared" ca="1" si="32"/>
        <v>4.6134534127778605E-2</v>
      </c>
      <c r="AU60" s="40">
        <f t="shared" ca="1" si="32"/>
        <v>4.2889209465373522E-2</v>
      </c>
      <c r="AV60" s="40">
        <f t="shared" ca="1" si="32"/>
        <v>3.9872176523336605E-2</v>
      </c>
      <c r="AW60" s="40">
        <f t="shared" ca="1" si="32"/>
        <v>3.7067376165830883E-2</v>
      </c>
      <c r="AX60" s="40">
        <f t="shared" ca="1" si="32"/>
        <v>3.4459878933747974E-2</v>
      </c>
      <c r="AY60" s="40">
        <f t="shared" ca="1" si="32"/>
        <v>3.2035805577822436E-2</v>
      </c>
      <c r="AZ60" s="40">
        <f t="shared" ca="1" si="32"/>
        <v>2.9782253181828457E-2</v>
      </c>
      <c r="BA60" s="40">
        <f t="shared" ca="1" si="32"/>
        <v>2.7687226482625629E-2</v>
      </c>
      <c r="BB60" s="40">
        <f t="shared" ca="1" si="32"/>
        <v>2.5739574021482491E-2</v>
      </c>
      <c r="BC60" s="40">
        <f t="shared" ca="1" si="32"/>
        <v>2.3928928786822561E-2</v>
      </c>
      <c r="BD60" s="40">
        <f t="shared" ca="1" si="32"/>
        <v>2.2245653032444645E-2</v>
      </c>
      <c r="BE60" s="40">
        <f t="shared" ca="1" si="32"/>
        <v>2.0680786977494515E-2</v>
      </c>
      <c r="BF60" s="40">
        <f t="shared" ca="1" si="32"/>
        <v>1.9226001115126897E-2</v>
      </c>
      <c r="BG60" s="40">
        <f t="shared" ca="1" si="32"/>
        <v>1.7873551876005183E-2</v>
      </c>
      <c r="BH60" s="40">
        <f t="shared" ca="1" si="32"/>
        <v>1.6616240410643492E-2</v>
      </c>
      <c r="BI60" s="40">
        <f t="shared" ca="1" si="32"/>
        <v>1.544737427119669E-2</v>
      </c>
      <c r="BJ60" s="40">
        <f t="shared" ca="1" si="32"/>
        <v>1.436073178873731E-2</v>
      </c>
      <c r="BK60" s="40">
        <f t="shared" ca="1" si="32"/>
        <v>1.3350528956405859E-2</v>
      </c>
      <c r="BL60" s="40">
        <f t="shared" ca="1" si="32"/>
        <v>1.2411388642159377E-2</v>
      </c>
      <c r="BM60" s="40">
        <f t="shared" ca="1" si="32"/>
        <v>1.1538311967243062E-2</v>
      </c>
      <c r="BN60" s="40">
        <f t="shared" ca="1" si="32"/>
        <v>1.0726651698037682E-2</v>
      </c>
      <c r="BO60" s="40">
        <f t="shared" ca="1" si="32"/>
        <v>9.972087509652167E-3</v>
      </c>
      <c r="BP60" s="40">
        <f t="shared" ref="BP60:CU60" ca="1" si="33">BO60*(1+BO59)^(-0.5)*(1+BP59)^(-0.5)</f>
        <v>9.2706029895939148E-3</v>
      </c>
      <c r="BQ60" s="40">
        <f t="shared" ca="1" si="33"/>
        <v>8.618464259111322E-3</v>
      </c>
      <c r="BR60" s="40">
        <f t="shared" ca="1" si="33"/>
        <v>8.0122000984137604E-3</v>
      </c>
      <c r="BS60" s="40">
        <f t="shared" ca="1" si="33"/>
        <v>7.4485834699790079E-3</v>
      </c>
      <c r="BT60" s="40">
        <f t="shared" ca="1" si="33"/>
        <v>6.9246143415999575E-3</v>
      </c>
      <c r="BU60" s="40">
        <f t="shared" ca="1" si="33"/>
        <v>6.4375037177407035E-3</v>
      </c>
      <c r="BV60" s="40">
        <f t="shared" ca="1" si="33"/>
        <v>5.9846587942037188E-3</v>
      </c>
      <c r="BW60" s="40">
        <f t="shared" ca="1" si="33"/>
        <v>5.5636691570890287E-3</v>
      </c>
      <c r="BX60" s="40">
        <f t="shared" ca="1" si="33"/>
        <v>5.1722939525848674E-3</v>
      </c>
      <c r="BY60" s="40">
        <f t="shared" ca="1" si="33"/>
        <v>4.8084499592968705E-3</v>
      </c>
      <c r="BZ60" s="40">
        <f t="shared" ca="1" si="33"/>
        <v>4.4702004996269012E-3</v>
      </c>
      <c r="CA60" s="40">
        <f t="shared" ca="1" si="33"/>
        <v>4.1557451311787438E-3</v>
      </c>
      <c r="CB60" s="40">
        <f t="shared" ca="1" si="33"/>
        <v>3.863410063319815E-3</v>
      </c>
      <c r="CC60" s="40">
        <f t="shared" ca="1" si="33"/>
        <v>3.5916392478879461E-3</v>
      </c>
      <c r="CD60" s="40">
        <f t="shared" ca="1" si="33"/>
        <v>3.3389860966206303E-3</v>
      </c>
      <c r="CE60" s="40">
        <f t="shared" ca="1" si="33"/>
        <v>3.1041057812200685E-3</v>
      </c>
      <c r="CF60" s="40">
        <f t="shared" ca="1" si="33"/>
        <v>2.885748075068615E-3</v>
      </c>
      <c r="CG60" s="40">
        <f t="shared" ca="1" si="33"/>
        <v>2.6827506984923298E-3</v>
      </c>
      <c r="CH60" s="40">
        <f t="shared" ca="1" si="33"/>
        <v>2.4940331321506486E-3</v>
      </c>
      <c r="CI60" s="40">
        <f t="shared" ca="1" si="33"/>
        <v>2.3185908656219324E-3</v>
      </c>
      <c r="CJ60" s="40">
        <f t="shared" ca="1" si="33"/>
        <v>2.1554900505711245E-3</v>
      </c>
      <c r="CK60" s="40">
        <f t="shared" ca="1" si="33"/>
        <v>2.0038625300392711E-3</v>
      </c>
      <c r="CL60" s="40">
        <f t="shared" ca="1" si="33"/>
        <v>1.8629012173966843E-3</v>
      </c>
      <c r="CM60" s="40">
        <f t="shared" ca="1" si="33"/>
        <v>1.7318558003627308E-3</v>
      </c>
      <c r="CN60" s="40">
        <f t="shared" ca="1" si="33"/>
        <v>1.6100287472254958E-3</v>
      </c>
      <c r="CO60" s="40">
        <f t="shared" ca="1" si="33"/>
        <v>1.4967715940031349E-3</v>
      </c>
      <c r="CP60" s="40">
        <f t="shared" ca="1" si="33"/>
        <v>1.3914814927841236E-3</v>
      </c>
      <c r="CQ60" s="40">
        <f t="shared" ca="1" si="33"/>
        <v>1.293598002873829E-3</v>
      </c>
      <c r="CR60" s="40">
        <f t="shared" ca="1" si="33"/>
        <v>1.20260010766724E-3</v>
      </c>
      <c r="CS60" s="40">
        <f t="shared" ca="1" si="33"/>
        <v>1.118003441369194E-3</v>
      </c>
      <c r="CT60" s="40">
        <f t="shared" ca="1" si="33"/>
        <v>1.0393577108004197E-3</v>
      </c>
      <c r="CU60" s="40">
        <f t="shared" ca="1" si="33"/>
        <v>9.6624429856612332E-4</v>
      </c>
      <c r="CV60" s="40">
        <f t="shared" ref="CV60:EA60" ca="1" si="34">CU60*(1+CU59)^(-0.5)*(1+CV59)^(-0.5)</f>
        <v>8.9827403482920572E-4</v>
      </c>
      <c r="CW60" s="40">
        <f t="shared" ca="1" si="34"/>
        <v>8.3508512582765055E-4</v>
      </c>
      <c r="CX60" s="40">
        <f t="shared" ca="1" si="34"/>
        <v>7.7634122810994711E-4</v>
      </c>
      <c r="CY60" s="40">
        <f t="shared" ca="1" si="34"/>
        <v>7.2172965823803998E-4</v>
      </c>
      <c r="CZ60" s="40">
        <f t="shared" ca="1" si="34"/>
        <v>6.7095972842837084E-4</v>
      </c>
      <c r="DA60" s="40">
        <f t="shared" ca="1" si="34"/>
        <v>6.237611992719206E-4</v>
      </c>
      <c r="DB60" s="40">
        <f t="shared" ca="1" si="34"/>
        <v>5.7988284129735382E-4</v>
      </c>
      <c r="DC60" s="40">
        <f t="shared" ca="1" si="34"/>
        <v>5.3909109772071943E-4</v>
      </c>
      <c r="DD60" s="40">
        <f t="shared" ca="1" si="34"/>
        <v>5.0116884126375752E-4</v>
      </c>
      <c r="DE60" s="40">
        <f t="shared" ca="1" si="34"/>
        <v>4.6591421842357745E-4</v>
      </c>
      <c r="DF60" s="40">
        <f t="shared" ca="1" si="34"/>
        <v>4.3313957504195522E-4</v>
      </c>
      <c r="DG60" s="40">
        <f t="shared" ca="1" si="34"/>
        <v>4.0267045745524647E-4</v>
      </c>
      <c r="DH60" s="40">
        <f t="shared" ca="1" si="34"/>
        <v>3.7434468390821075E-4</v>
      </c>
      <c r="DI60" s="40">
        <f t="shared" ca="1" si="34"/>
        <v>3.4801148128904628E-4</v>
      </c>
      <c r="DJ60" s="40">
        <f t="shared" ca="1" si="34"/>
        <v>3.2353068259062778E-4</v>
      </c>
      <c r="DK60" s="40">
        <f t="shared" ca="1" si="34"/>
        <v>3.0077198082617426E-4</v>
      </c>
      <c r="DL60" s="40">
        <f t="shared" ca="1" si="34"/>
        <v>2.7961423542807176E-4</v>
      </c>
      <c r="DM60" s="40">
        <f t="shared" ca="1" si="34"/>
        <v>2.5994482743793291E-4</v>
      </c>
      <c r="DN60" s="40">
        <f t="shared" ca="1" si="34"/>
        <v>2.4165906005568457E-4</v>
      </c>
      <c r="DO60" s="40">
        <f t="shared" ca="1" si="34"/>
        <v>2.2465960135691074E-4</v>
      </c>
      <c r="DP60" s="40">
        <f t="shared" ca="1" si="34"/>
        <v>2.0885596621213372E-4</v>
      </c>
      <c r="DQ60" s="40">
        <f t="shared" ca="1" si="34"/>
        <v>1.9416403465038074E-4</v>
      </c>
      <c r="DR60" s="40">
        <f t="shared" ca="1" si="34"/>
        <v>1.8050560410337013E-4</v>
      </c>
      <c r="DS60" s="40">
        <f t="shared" ca="1" si="34"/>
        <v>1.6780797314699134E-4</v>
      </c>
      <c r="DT60" s="40">
        <f t="shared" ca="1" si="34"/>
        <v>1.5600355452440834E-4</v>
      </c>
      <c r="DU60" s="40">
        <f t="shared" ca="1" si="34"/>
        <v>1.4502951539097588E-4</v>
      </c>
      <c r="DV60" s="40">
        <f t="shared" ca="1" si="34"/>
        <v>1.3482744286605594E-4</v>
      </c>
      <c r="DW60" s="40">
        <f t="shared" ca="1" si="34"/>
        <v>1.2534303311152544E-4</v>
      </c>
      <c r="DX60" s="40">
        <f t="shared" ca="1" si="34"/>
        <v>1.1652580228199464E-4</v>
      </c>
      <c r="DY60" s="40">
        <f t="shared" ca="1" si="34"/>
        <v>1.0832881780817517E-4</v>
      </c>
      <c r="DZ60" s="40">
        <f t="shared" ca="1" si="34"/>
        <v>1.0070844858306632E-4</v>
      </c>
      <c r="EA60" s="40">
        <f t="shared" ca="1" si="34"/>
        <v>9.3624132721244554E-5</v>
      </c>
      <c r="EB60" s="40">
        <f t="shared" ref="EB60:EL60" ca="1" si="35">EA60*(1+EA59)^(-0.5)*(1+EB59)^(-0.5)</f>
        <v>8.7038161655079773E-5</v>
      </c>
      <c r="EC60" s="40">
        <f t="shared" ca="1" si="35"/>
        <v>8.0915479418660458E-5</v>
      </c>
      <c r="ED60" s="40">
        <f t="shared" ca="1" si="35"/>
        <v>7.5223496051051372E-5</v>
      </c>
      <c r="EE60" s="40">
        <f t="shared" ca="1" si="35"/>
        <v>6.9931914125662093E-5</v>
      </c>
      <c r="EF60" s="40">
        <f t="shared" ca="1" si="35"/>
        <v>6.5012567482372746E-5</v>
      </c>
      <c r="EG60" s="40">
        <f t="shared" ca="1" si="35"/>
        <v>6.0439271304016432E-5</v>
      </c>
      <c r="EH60" s="40">
        <f t="shared" ca="1" si="35"/>
        <v>5.6187682739201745E-5</v>
      </c>
      <c r="EI60" s="40">
        <f t="shared" ca="1" si="35"/>
        <v>5.2235171329595277E-5</v>
      </c>
      <c r="EJ60" s="40">
        <f t="shared" ca="1" si="35"/>
        <v>4.8560698551971221E-5</v>
      </c>
      <c r="EK60" s="40">
        <f t="shared" ca="1" si="35"/>
        <v>4.5144705833851639E-5</v>
      </c>
      <c r="EL60" s="40">
        <f t="shared" ca="1" si="35"/>
        <v>4.1969010446664351E-5</v>
      </c>
    </row>
    <row r="61" spans="2:142" s="39" customFormat="1">
      <c r="C61" s="47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</row>
    <row r="62" spans="2:142" s="68" customFormat="1">
      <c r="B62" s="28" t="s">
        <v>92</v>
      </c>
      <c r="C62" s="2"/>
      <c r="D62" s="74"/>
      <c r="E62" s="74"/>
      <c r="F62" s="74"/>
      <c r="G62" s="74"/>
      <c r="H62" s="74"/>
      <c r="I62" s="74"/>
      <c r="J62" s="74"/>
      <c r="K62" s="73"/>
      <c r="L62" s="72"/>
    </row>
    <row r="63" spans="2:142" s="68" customFormat="1">
      <c r="B63" s="44" t="s">
        <v>24</v>
      </c>
      <c r="C63" s="71">
        <f t="shared" ref="C63:AH63" si="36">C117</f>
        <v>0</v>
      </c>
      <c r="D63" s="71">
        <f t="shared" si="36"/>
        <v>1</v>
      </c>
      <c r="E63" s="71">
        <f t="shared" si="36"/>
        <v>2</v>
      </c>
      <c r="F63" s="71">
        <f t="shared" si="36"/>
        <v>3</v>
      </c>
      <c r="G63" s="71">
        <f t="shared" si="36"/>
        <v>4</v>
      </c>
      <c r="H63" s="71">
        <f t="shared" si="36"/>
        <v>5</v>
      </c>
      <c r="I63" s="71">
        <f t="shared" si="36"/>
        <v>6</v>
      </c>
      <c r="J63" s="71">
        <f t="shared" si="36"/>
        <v>7</v>
      </c>
      <c r="K63" s="71">
        <f t="shared" si="36"/>
        <v>8</v>
      </c>
      <c r="L63" s="71">
        <f t="shared" si="36"/>
        <v>9</v>
      </c>
      <c r="M63" s="71">
        <f t="shared" si="36"/>
        <v>10</v>
      </c>
      <c r="N63" s="71">
        <f t="shared" si="36"/>
        <v>11</v>
      </c>
      <c r="O63" s="71">
        <f t="shared" si="36"/>
        <v>12</v>
      </c>
      <c r="P63" s="71">
        <f t="shared" si="36"/>
        <v>13</v>
      </c>
      <c r="Q63" s="71">
        <f t="shared" si="36"/>
        <v>14</v>
      </c>
      <c r="R63" s="71">
        <f t="shared" si="36"/>
        <v>15</v>
      </c>
      <c r="S63" s="71">
        <f t="shared" si="36"/>
        <v>16</v>
      </c>
      <c r="T63" s="71">
        <f t="shared" si="36"/>
        <v>17</v>
      </c>
      <c r="U63" s="71">
        <f t="shared" si="36"/>
        <v>18</v>
      </c>
      <c r="V63" s="71">
        <f t="shared" si="36"/>
        <v>19</v>
      </c>
      <c r="W63" s="71">
        <f t="shared" si="36"/>
        <v>20</v>
      </c>
      <c r="X63" s="71">
        <f t="shared" si="36"/>
        <v>21</v>
      </c>
      <c r="Y63" s="71">
        <f t="shared" si="36"/>
        <v>22</v>
      </c>
      <c r="Z63" s="71">
        <f t="shared" si="36"/>
        <v>23</v>
      </c>
      <c r="AA63" s="71">
        <f t="shared" si="36"/>
        <v>24</v>
      </c>
      <c r="AB63" s="71">
        <f t="shared" si="36"/>
        <v>25</v>
      </c>
      <c r="AC63" s="71">
        <f t="shared" si="36"/>
        <v>26</v>
      </c>
      <c r="AD63" s="71">
        <f t="shared" si="36"/>
        <v>27</v>
      </c>
      <c r="AE63" s="71">
        <f t="shared" si="36"/>
        <v>28</v>
      </c>
      <c r="AF63" s="71">
        <f t="shared" si="36"/>
        <v>29</v>
      </c>
      <c r="AG63" s="71">
        <f t="shared" si="36"/>
        <v>30</v>
      </c>
      <c r="AH63" s="71">
        <f t="shared" si="36"/>
        <v>31</v>
      </c>
      <c r="AI63" s="71">
        <f t="shared" ref="AI63:BN63" si="37">AI117</f>
        <v>32</v>
      </c>
      <c r="AJ63" s="71">
        <f t="shared" si="37"/>
        <v>33</v>
      </c>
      <c r="AK63" s="71">
        <f t="shared" si="37"/>
        <v>34</v>
      </c>
      <c r="AL63" s="71">
        <f t="shared" si="37"/>
        <v>35</v>
      </c>
      <c r="AM63" s="71">
        <f t="shared" si="37"/>
        <v>36</v>
      </c>
      <c r="AN63" s="71">
        <f t="shared" si="37"/>
        <v>37</v>
      </c>
      <c r="AO63" s="71">
        <f t="shared" si="37"/>
        <v>38</v>
      </c>
      <c r="AP63" s="71">
        <f t="shared" si="37"/>
        <v>39</v>
      </c>
      <c r="AQ63" s="71">
        <f t="shared" si="37"/>
        <v>40</v>
      </c>
      <c r="AR63" s="71">
        <f t="shared" si="37"/>
        <v>41</v>
      </c>
      <c r="AS63" s="71">
        <f t="shared" si="37"/>
        <v>42</v>
      </c>
      <c r="AT63" s="71">
        <f t="shared" si="37"/>
        <v>43</v>
      </c>
      <c r="AU63" s="71">
        <f t="shared" si="37"/>
        <v>44</v>
      </c>
      <c r="AV63" s="71">
        <f t="shared" si="37"/>
        <v>45</v>
      </c>
      <c r="AW63" s="71">
        <f t="shared" si="37"/>
        <v>46</v>
      </c>
      <c r="AX63" s="71">
        <f t="shared" si="37"/>
        <v>47</v>
      </c>
      <c r="AY63" s="71">
        <f t="shared" si="37"/>
        <v>48</v>
      </c>
      <c r="AZ63" s="71">
        <f t="shared" si="37"/>
        <v>49</v>
      </c>
      <c r="BA63" s="71">
        <f t="shared" si="37"/>
        <v>50</v>
      </c>
      <c r="BB63" s="71">
        <f t="shared" si="37"/>
        <v>51</v>
      </c>
      <c r="BC63" s="71">
        <f t="shared" si="37"/>
        <v>52</v>
      </c>
      <c r="BD63" s="71">
        <f t="shared" si="37"/>
        <v>53</v>
      </c>
      <c r="BE63" s="71">
        <f t="shared" si="37"/>
        <v>54</v>
      </c>
      <c r="BF63" s="71">
        <f t="shared" si="37"/>
        <v>55</v>
      </c>
      <c r="BG63" s="71">
        <f t="shared" si="37"/>
        <v>56</v>
      </c>
      <c r="BH63" s="71">
        <f t="shared" si="37"/>
        <v>57</v>
      </c>
      <c r="BI63" s="71">
        <f t="shared" si="37"/>
        <v>58</v>
      </c>
      <c r="BJ63" s="71">
        <f t="shared" si="37"/>
        <v>59</v>
      </c>
      <c r="BK63" s="71">
        <f t="shared" si="37"/>
        <v>60</v>
      </c>
      <c r="BL63" s="71">
        <f t="shared" si="37"/>
        <v>61</v>
      </c>
      <c r="BM63" s="71">
        <f t="shared" si="37"/>
        <v>62</v>
      </c>
      <c r="BN63" s="71">
        <f t="shared" si="37"/>
        <v>63</v>
      </c>
      <c r="BO63" s="71">
        <f t="shared" ref="BO63:CT63" si="38">BO117</f>
        <v>64</v>
      </c>
      <c r="BP63" s="71">
        <f t="shared" si="38"/>
        <v>65</v>
      </c>
      <c r="BQ63" s="71">
        <f t="shared" si="38"/>
        <v>66</v>
      </c>
      <c r="BR63" s="71">
        <f t="shared" si="38"/>
        <v>67</v>
      </c>
      <c r="BS63" s="71">
        <f t="shared" si="38"/>
        <v>68</v>
      </c>
      <c r="BT63" s="71">
        <f t="shared" si="38"/>
        <v>69</v>
      </c>
      <c r="BU63" s="71">
        <f t="shared" si="38"/>
        <v>70</v>
      </c>
      <c r="BV63" s="71">
        <f t="shared" si="38"/>
        <v>71</v>
      </c>
      <c r="BW63" s="71">
        <f t="shared" si="38"/>
        <v>72</v>
      </c>
      <c r="BX63" s="71">
        <f t="shared" si="38"/>
        <v>73</v>
      </c>
      <c r="BY63" s="71">
        <f t="shared" si="38"/>
        <v>74</v>
      </c>
      <c r="BZ63" s="71">
        <f t="shared" si="38"/>
        <v>75</v>
      </c>
      <c r="CA63" s="71">
        <f t="shared" si="38"/>
        <v>76</v>
      </c>
      <c r="CB63" s="71">
        <f t="shared" si="38"/>
        <v>77</v>
      </c>
      <c r="CC63" s="71">
        <f t="shared" si="38"/>
        <v>78</v>
      </c>
      <c r="CD63" s="71">
        <f t="shared" si="38"/>
        <v>79</v>
      </c>
      <c r="CE63" s="71">
        <f t="shared" si="38"/>
        <v>80</v>
      </c>
      <c r="CF63" s="71">
        <f t="shared" si="38"/>
        <v>81</v>
      </c>
      <c r="CG63" s="71">
        <f t="shared" si="38"/>
        <v>82</v>
      </c>
      <c r="CH63" s="71">
        <f t="shared" si="38"/>
        <v>83</v>
      </c>
      <c r="CI63" s="71">
        <f t="shared" si="38"/>
        <v>84</v>
      </c>
      <c r="CJ63" s="71">
        <f t="shared" si="38"/>
        <v>85</v>
      </c>
      <c r="CK63" s="71">
        <f t="shared" si="38"/>
        <v>86</v>
      </c>
      <c r="CL63" s="71">
        <f t="shared" si="38"/>
        <v>87</v>
      </c>
      <c r="CM63" s="71">
        <f t="shared" si="38"/>
        <v>88</v>
      </c>
      <c r="CN63" s="71">
        <f t="shared" si="38"/>
        <v>89</v>
      </c>
      <c r="CO63" s="71">
        <f t="shared" si="38"/>
        <v>90</v>
      </c>
      <c r="CP63" s="71">
        <f t="shared" si="38"/>
        <v>91</v>
      </c>
      <c r="CQ63" s="71">
        <f t="shared" si="38"/>
        <v>92</v>
      </c>
      <c r="CR63" s="71">
        <f t="shared" si="38"/>
        <v>93</v>
      </c>
      <c r="CS63" s="71">
        <f t="shared" si="38"/>
        <v>94</v>
      </c>
      <c r="CT63" s="71">
        <f t="shared" si="38"/>
        <v>95</v>
      </c>
      <c r="CU63" s="71">
        <f t="shared" ref="CU63:DZ63" si="39">CU117</f>
        <v>96</v>
      </c>
      <c r="CV63" s="71">
        <f t="shared" si="39"/>
        <v>97</v>
      </c>
      <c r="CW63" s="71">
        <f t="shared" si="39"/>
        <v>98</v>
      </c>
      <c r="CX63" s="71">
        <f t="shared" si="39"/>
        <v>99</v>
      </c>
      <c r="CY63" s="71">
        <f t="shared" si="39"/>
        <v>100</v>
      </c>
      <c r="CZ63" s="71">
        <f t="shared" si="39"/>
        <v>101</v>
      </c>
      <c r="DA63" s="71">
        <f t="shared" si="39"/>
        <v>102</v>
      </c>
      <c r="DB63" s="71">
        <f t="shared" si="39"/>
        <v>103</v>
      </c>
      <c r="DC63" s="71">
        <f t="shared" si="39"/>
        <v>104</v>
      </c>
      <c r="DD63" s="71">
        <f t="shared" si="39"/>
        <v>105</v>
      </c>
      <c r="DE63" s="71">
        <f t="shared" si="39"/>
        <v>106</v>
      </c>
      <c r="DF63" s="71">
        <f t="shared" si="39"/>
        <v>107</v>
      </c>
      <c r="DG63" s="71">
        <f t="shared" si="39"/>
        <v>108</v>
      </c>
      <c r="DH63" s="71">
        <f t="shared" si="39"/>
        <v>109</v>
      </c>
      <c r="DI63" s="71">
        <f t="shared" si="39"/>
        <v>110</v>
      </c>
      <c r="DJ63" s="71">
        <f t="shared" si="39"/>
        <v>111</v>
      </c>
      <c r="DK63" s="71">
        <f t="shared" si="39"/>
        <v>112</v>
      </c>
      <c r="DL63" s="71">
        <f t="shared" si="39"/>
        <v>113</v>
      </c>
      <c r="DM63" s="71">
        <f t="shared" si="39"/>
        <v>114</v>
      </c>
      <c r="DN63" s="71">
        <f t="shared" si="39"/>
        <v>115</v>
      </c>
      <c r="DO63" s="71">
        <f t="shared" si="39"/>
        <v>116</v>
      </c>
      <c r="DP63" s="71">
        <f t="shared" si="39"/>
        <v>117</v>
      </c>
      <c r="DQ63" s="71">
        <f t="shared" si="39"/>
        <v>118</v>
      </c>
      <c r="DR63" s="71">
        <f t="shared" si="39"/>
        <v>119</v>
      </c>
      <c r="DS63" s="71">
        <f t="shared" si="39"/>
        <v>120</v>
      </c>
      <c r="DT63" s="71">
        <f t="shared" si="39"/>
        <v>121</v>
      </c>
      <c r="DU63" s="71">
        <f t="shared" si="39"/>
        <v>122</v>
      </c>
      <c r="DV63" s="71">
        <f t="shared" si="39"/>
        <v>123</v>
      </c>
      <c r="DW63" s="71">
        <f t="shared" si="39"/>
        <v>124</v>
      </c>
      <c r="DX63" s="71">
        <f t="shared" si="39"/>
        <v>125</v>
      </c>
      <c r="DY63" s="71">
        <f t="shared" si="39"/>
        <v>126</v>
      </c>
      <c r="DZ63" s="71">
        <f t="shared" si="39"/>
        <v>127</v>
      </c>
      <c r="EA63" s="71">
        <f t="shared" ref="EA63:EL63" si="40">EA117</f>
        <v>128</v>
      </c>
      <c r="EB63" s="71">
        <f t="shared" si="40"/>
        <v>129</v>
      </c>
      <c r="EC63" s="71">
        <f t="shared" si="40"/>
        <v>130</v>
      </c>
      <c r="ED63" s="71">
        <f t="shared" si="40"/>
        <v>131</v>
      </c>
      <c r="EE63" s="71">
        <f t="shared" si="40"/>
        <v>132</v>
      </c>
      <c r="EF63" s="71">
        <f t="shared" si="40"/>
        <v>133</v>
      </c>
      <c r="EG63" s="71">
        <f t="shared" si="40"/>
        <v>134</v>
      </c>
      <c r="EH63" s="71">
        <f t="shared" si="40"/>
        <v>135</v>
      </c>
      <c r="EI63" s="71">
        <f t="shared" si="40"/>
        <v>136</v>
      </c>
      <c r="EJ63" s="71">
        <f t="shared" si="40"/>
        <v>137</v>
      </c>
      <c r="EK63" s="71">
        <f t="shared" si="40"/>
        <v>138</v>
      </c>
      <c r="EL63" s="71">
        <f t="shared" si="40"/>
        <v>139</v>
      </c>
    </row>
    <row r="64" spans="2:142" s="68" customFormat="1">
      <c r="B64" s="51" t="s">
        <v>51</v>
      </c>
      <c r="C64" s="70">
        <f>0</f>
        <v>0</v>
      </c>
      <c r="D64" s="69">
        <f t="shared" ref="D64:AI64" ca="1" si="41">-SUM(D105:D106,D91:D92)</f>
        <v>-182.3930603198495</v>
      </c>
      <c r="E64" s="69">
        <f t="shared" ca="1" si="41"/>
        <v>-184.83320468181415</v>
      </c>
      <c r="F64" s="69">
        <f t="shared" ca="1" si="41"/>
        <v>-209.574018123603</v>
      </c>
      <c r="G64" s="69">
        <f t="shared" ca="1" si="41"/>
        <v>-231.63300367056928</v>
      </c>
      <c r="H64" s="69">
        <f t="shared" ca="1" si="41"/>
        <v>-195.89804749246983</v>
      </c>
      <c r="I64" s="69">
        <f t="shared" ca="1" si="41"/>
        <v>-109.93101448243505</v>
      </c>
      <c r="J64" s="69">
        <f t="shared" ca="1" si="41"/>
        <v>-44.591991044742905</v>
      </c>
      <c r="K64" s="69">
        <f t="shared" ca="1" si="41"/>
        <v>19.997102098819578</v>
      </c>
      <c r="L64" s="69">
        <f t="shared" ca="1" si="41"/>
        <v>82.87953196688909</v>
      </c>
      <c r="M64" s="69">
        <f t="shared" ca="1" si="41"/>
        <v>84.233969113282654</v>
      </c>
      <c r="N64" s="69">
        <f t="shared" ca="1" si="41"/>
        <v>75.813810450648702</v>
      </c>
      <c r="O64" s="69">
        <f t="shared" ca="1" si="41"/>
        <v>60.227033203213395</v>
      </c>
      <c r="P64" s="69">
        <f t="shared" ca="1" si="41"/>
        <v>49.43932401222407</v>
      </c>
      <c r="Q64" s="69">
        <f t="shared" ca="1" si="41"/>
        <v>42.300409581540684</v>
      </c>
      <c r="R64" s="69">
        <f t="shared" ca="1" si="41"/>
        <v>38.695777330176384</v>
      </c>
      <c r="S64" s="69">
        <f t="shared" ca="1" si="41"/>
        <v>38.984921066148203</v>
      </c>
      <c r="T64" s="69">
        <f t="shared" ca="1" si="41"/>
        <v>39.674299579479495</v>
      </c>
      <c r="U64" s="69">
        <f t="shared" ca="1" si="41"/>
        <v>40.292690021535954</v>
      </c>
      <c r="V64" s="69">
        <f t="shared" ca="1" si="41"/>
        <v>40.858549224483241</v>
      </c>
      <c r="W64" s="69">
        <f t="shared" ca="1" si="41"/>
        <v>41.405218890405116</v>
      </c>
      <c r="X64" s="69">
        <f t="shared" ca="1" si="41"/>
        <v>41.908894544275796</v>
      </c>
      <c r="Y64" s="69">
        <f t="shared" ca="1" si="41"/>
        <v>42.387147781962597</v>
      </c>
      <c r="Z64" s="69">
        <f t="shared" ca="1" si="41"/>
        <v>42.830166387725072</v>
      </c>
      <c r="AA64" s="69">
        <f t="shared" ca="1" si="41"/>
        <v>43.233247149169003</v>
      </c>
      <c r="AB64" s="69">
        <f t="shared" ca="1" si="41"/>
        <v>43.596165528453355</v>
      </c>
      <c r="AC64" s="69">
        <f t="shared" ca="1" si="41"/>
        <v>43.861429955590978</v>
      </c>
      <c r="AD64" s="69">
        <f t="shared" ca="1" si="41"/>
        <v>44.04163034763269</v>
      </c>
      <c r="AE64" s="69">
        <f t="shared" ca="1" si="41"/>
        <v>44.129902283032493</v>
      </c>
      <c r="AF64" s="69">
        <f t="shared" ca="1" si="41"/>
        <v>44.132290924503025</v>
      </c>
      <c r="AG64" s="69">
        <f t="shared" ca="1" si="41"/>
        <v>44.044097437381865</v>
      </c>
      <c r="AH64" s="69">
        <f t="shared" ca="1" si="41"/>
        <v>43.850230840506114</v>
      </c>
      <c r="AI64" s="69">
        <f t="shared" ca="1" si="41"/>
        <v>43.539720423860032</v>
      </c>
      <c r="AJ64" s="69">
        <f t="shared" ref="AJ64:BO64" ca="1" si="42">-SUM(AJ105:AJ106,AJ91:AJ92)</f>
        <v>43.11509880064505</v>
      </c>
      <c r="AK64" s="69">
        <f t="shared" ca="1" si="42"/>
        <v>42.583091641019863</v>
      </c>
      <c r="AL64" s="69">
        <f t="shared" ca="1" si="42"/>
        <v>41.938083656129081</v>
      </c>
      <c r="AM64" s="69">
        <f t="shared" ca="1" si="42"/>
        <v>41.180427836348002</v>
      </c>
      <c r="AN64" s="69">
        <f t="shared" ca="1" si="42"/>
        <v>40.312655904484465</v>
      </c>
      <c r="AO64" s="69">
        <f t="shared" ca="1" si="42"/>
        <v>39.324653034025417</v>
      </c>
      <c r="AP64" s="69">
        <f t="shared" ca="1" si="42"/>
        <v>38.238169023233581</v>
      </c>
      <c r="AQ64" s="69">
        <f t="shared" ca="1" si="42"/>
        <v>37.066851063155219</v>
      </c>
      <c r="AR64" s="69">
        <f t="shared" ca="1" si="42"/>
        <v>35.830906807945887</v>
      </c>
      <c r="AS64" s="69">
        <f t="shared" ca="1" si="42"/>
        <v>34.550672549048933</v>
      </c>
      <c r="AT64" s="69">
        <f t="shared" ca="1" si="42"/>
        <v>33.230002023644481</v>
      </c>
      <c r="AU64" s="69">
        <f t="shared" ca="1" si="42"/>
        <v>31.876496696910984</v>
      </c>
      <c r="AV64" s="69">
        <f t="shared" ca="1" si="42"/>
        <v>30.511052734017788</v>
      </c>
      <c r="AW64" s="69">
        <f t="shared" ca="1" si="42"/>
        <v>29.146505195909988</v>
      </c>
      <c r="AX64" s="69">
        <f t="shared" ca="1" si="42"/>
        <v>27.786453426043487</v>
      </c>
      <c r="AY64" s="69">
        <f t="shared" ca="1" si="42"/>
        <v>26.428820982162147</v>
      </c>
      <c r="AZ64" s="69">
        <f t="shared" ca="1" si="42"/>
        <v>25.083108089042067</v>
      </c>
      <c r="BA64" s="69">
        <f t="shared" ca="1" si="42"/>
        <v>23.76094257225758</v>
      </c>
      <c r="BB64" s="69">
        <f t="shared" ca="1" si="42"/>
        <v>22.470098456644617</v>
      </c>
      <c r="BC64" s="69">
        <f t="shared" ca="1" si="42"/>
        <v>21.203192849820802</v>
      </c>
      <c r="BD64" s="69">
        <f t="shared" ca="1" si="42"/>
        <v>19.970833068979125</v>
      </c>
      <c r="BE64" s="69">
        <f t="shared" ca="1" si="42"/>
        <v>18.77758413606686</v>
      </c>
      <c r="BF64" s="69">
        <f t="shared" ca="1" si="42"/>
        <v>17.621085610700902</v>
      </c>
      <c r="BG64" s="69">
        <f t="shared" ca="1" si="42"/>
        <v>16.503523503661754</v>
      </c>
      <c r="BH64" s="69">
        <f t="shared" ca="1" si="42"/>
        <v>15.420572427257063</v>
      </c>
      <c r="BI64" s="69">
        <f t="shared" ca="1" si="42"/>
        <v>14.367631609298297</v>
      </c>
      <c r="BJ64" s="69">
        <f t="shared" ca="1" si="42"/>
        <v>13.357984043391838</v>
      </c>
      <c r="BK64" s="69">
        <f t="shared" ca="1" si="42"/>
        <v>12.408955743227725</v>
      </c>
      <c r="BL64" s="69">
        <f t="shared" ca="1" si="42"/>
        <v>11.504736230454002</v>
      </c>
      <c r="BM64" s="69">
        <f t="shared" ca="1" si="42"/>
        <v>10.654565858592704</v>
      </c>
      <c r="BN64" s="69">
        <f t="shared" ca="1" si="42"/>
        <v>9.8565308867341095</v>
      </c>
      <c r="BO64" s="69">
        <f t="shared" ca="1" si="42"/>
        <v>9.1078567536442154</v>
      </c>
      <c r="BP64" s="69">
        <f t="shared" ref="BP64:CU64" ca="1" si="43">-SUM(BP105:BP106,BP91:BP92)</f>
        <v>8.4126521419879605</v>
      </c>
      <c r="BQ64" s="69">
        <f t="shared" ca="1" si="43"/>
        <v>7.7672658285849465</v>
      </c>
      <c r="BR64" s="69">
        <f t="shared" ca="1" si="43"/>
        <v>7.1262774550316212</v>
      </c>
      <c r="BS64" s="69">
        <f t="shared" ca="1" si="43"/>
        <v>6.5008696009476843</v>
      </c>
      <c r="BT64" s="69">
        <f t="shared" ca="1" si="43"/>
        <v>5.8747616084463417</v>
      </c>
      <c r="BU64" s="69">
        <f t="shared" ca="1" si="43"/>
        <v>5.2874740692686544</v>
      </c>
      <c r="BV64" s="69">
        <f t="shared" ca="1" si="43"/>
        <v>4.8871502687959412</v>
      </c>
      <c r="BW64" s="69">
        <f t="shared" ca="1" si="43"/>
        <v>4.580677793549083</v>
      </c>
      <c r="BX64" s="69">
        <f t="shared" ca="1" si="43"/>
        <v>4.3263670264852117</v>
      </c>
      <c r="BY64" s="69">
        <f t="shared" ca="1" si="43"/>
        <v>4.1148761681127555</v>
      </c>
      <c r="BZ64" s="69">
        <f t="shared" ca="1" si="43"/>
        <v>3.9411913530052178</v>
      </c>
      <c r="CA64" s="69">
        <f t="shared" ca="1" si="43"/>
        <v>3.8057481186558721</v>
      </c>
      <c r="CB64" s="69">
        <f t="shared" ca="1" si="43"/>
        <v>3.6950778609257813</v>
      </c>
      <c r="CC64" s="69">
        <f t="shared" ca="1" si="43"/>
        <v>3.5999340270934455</v>
      </c>
      <c r="CD64" s="69">
        <f t="shared" ca="1" si="43"/>
        <v>3.5098454045573062</v>
      </c>
      <c r="CE64" s="69">
        <f t="shared" ca="1" si="43"/>
        <v>3.4182648341791011</v>
      </c>
      <c r="CF64" s="69">
        <f t="shared" ca="1" si="43"/>
        <v>3.3221701019741587</v>
      </c>
      <c r="CG64" s="69">
        <f t="shared" ca="1" si="43"/>
        <v>3.2031656702410252</v>
      </c>
      <c r="CH64" s="69">
        <f t="shared" ca="1" si="43"/>
        <v>3.0720317770477492</v>
      </c>
      <c r="CI64" s="69">
        <f t="shared" ca="1" si="43"/>
        <v>2.9363715986372463</v>
      </c>
      <c r="CJ64" s="69">
        <f t="shared" ca="1" si="43"/>
        <v>2.7912812491332457</v>
      </c>
      <c r="CK64" s="69">
        <f t="shared" ca="1" si="43"/>
        <v>2.6531627424114745</v>
      </c>
      <c r="CL64" s="69">
        <f t="shared" ca="1" si="43"/>
        <v>2.5011088477258854</v>
      </c>
      <c r="CM64" s="69">
        <f t="shared" ca="1" si="43"/>
        <v>2.3317221504251893</v>
      </c>
      <c r="CN64" s="69">
        <f t="shared" ca="1" si="43"/>
        <v>2.1392211334348694</v>
      </c>
      <c r="CO64" s="69">
        <f t="shared" ca="1" si="43"/>
        <v>1.9245901251350714</v>
      </c>
      <c r="CP64" s="69">
        <f t="shared" ca="1" si="43"/>
        <v>1.7108849701283169</v>
      </c>
      <c r="CQ64" s="69">
        <f t="shared" ca="1" si="43"/>
        <v>1.4984950186053296</v>
      </c>
      <c r="CR64" s="69">
        <f t="shared" ca="1" si="43"/>
        <v>1.3080826850717884</v>
      </c>
      <c r="CS64" s="69">
        <f t="shared" ca="1" si="43"/>
        <v>1.1216502630260381</v>
      </c>
      <c r="CT64" s="69">
        <f t="shared" ca="1" si="43"/>
        <v>0.93697556114248848</v>
      </c>
      <c r="CU64" s="69">
        <f t="shared" ca="1" si="43"/>
        <v>0.76576762299167422</v>
      </c>
      <c r="CV64" s="69">
        <f t="shared" ref="CV64:EA64" ca="1" si="44">-SUM(CV105:CV106,CV91:CV92)</f>
        <v>0.60919577847930206</v>
      </c>
      <c r="CW64" s="69">
        <f t="shared" ca="1" si="44"/>
        <v>0.46975608053005341</v>
      </c>
      <c r="CX64" s="69">
        <f t="shared" ca="1" si="44"/>
        <v>0.35465030379381873</v>
      </c>
      <c r="CY64" s="69">
        <f t="shared" ca="1" si="44"/>
        <v>0.25999354607909025</v>
      </c>
      <c r="CZ64" s="69">
        <f t="shared" ca="1" si="44"/>
        <v>0.18565492895868765</v>
      </c>
      <c r="DA64" s="69">
        <f t="shared" ca="1" si="44"/>
        <v>1.2257789482070236E-2</v>
      </c>
      <c r="DB64" s="69">
        <f t="shared" ca="1" si="44"/>
        <v>8.5171985205403419E-3</v>
      </c>
      <c r="DC64" s="69">
        <f t="shared" ca="1" si="44"/>
        <v>5.6031099939229095E-3</v>
      </c>
      <c r="DD64" s="69">
        <f t="shared" ca="1" si="44"/>
        <v>3.4482634847352992E-3</v>
      </c>
      <c r="DE64" s="69">
        <f t="shared" ca="1" si="44"/>
        <v>1.9535368240937833E-3</v>
      </c>
      <c r="DF64" s="69">
        <f t="shared" ca="1" si="44"/>
        <v>9.9777377031064489E-4</v>
      </c>
      <c r="DG64" s="69">
        <f t="shared" ca="1" si="44"/>
        <v>4.4570817877404928E-4</v>
      </c>
      <c r="DH64" s="69">
        <f t="shared" ca="1" si="44"/>
        <v>1.6718372318197581E-4</v>
      </c>
      <c r="DI64" s="69">
        <f t="shared" ca="1" si="44"/>
        <v>4.8880313881503213E-5</v>
      </c>
      <c r="DJ64" s="69">
        <f t="shared" ca="1" si="44"/>
        <v>1.1231361529508233E-5</v>
      </c>
      <c r="DK64" s="69">
        <f t="shared" ca="1" si="44"/>
        <v>2.2120722401072802E-6</v>
      </c>
      <c r="DL64" s="69">
        <f t="shared" ca="1" si="44"/>
        <v>4.356586762527039E-7</v>
      </c>
      <c r="DM64" s="69">
        <f t="shared" ca="1" si="44"/>
        <v>8.5806207752732442E-8</v>
      </c>
      <c r="DN64" s="69">
        <f t="shared" ca="1" si="44"/>
        <v>1.6900186830666582E-8</v>
      </c>
      <c r="DO64" s="69">
        <f t="shared" ca="1" si="44"/>
        <v>3.3285933327035109E-9</v>
      </c>
      <c r="DP64" s="69">
        <f t="shared" ca="1" si="44"/>
        <v>6.5555111496315001E-10</v>
      </c>
      <c r="DQ64" s="69">
        <f t="shared" ca="1" si="44"/>
        <v>1.2911107524270887E-10</v>
      </c>
      <c r="DR64" s="69">
        <f t="shared" ca="1" si="44"/>
        <v>2.5427533638454975E-11</v>
      </c>
      <c r="DS64" s="69">
        <f t="shared" ca="1" si="44"/>
        <v>5.0082693883439606E-12</v>
      </c>
      <c r="DT64" s="69">
        <f t="shared" ca="1" si="44"/>
        <v>9.8633612509295281E-13</v>
      </c>
      <c r="DU64" s="69">
        <f t="shared" ca="1" si="44"/>
        <v>1.9425226570675414E-13</v>
      </c>
      <c r="DV64" s="69">
        <f t="shared" ca="1" si="44"/>
        <v>3.8256779494556224E-14</v>
      </c>
      <c r="DW64" s="69">
        <f t="shared" ca="1" si="44"/>
        <v>7.5343940865882774E-15</v>
      </c>
      <c r="DX64" s="69">
        <f t="shared" ca="1" si="44"/>
        <v>1.4838569714207152E-15</v>
      </c>
      <c r="DY64" s="69">
        <f t="shared" ca="1" si="44"/>
        <v>2.9223884203073633E-16</v>
      </c>
      <c r="DZ64" s="69">
        <f t="shared" ca="1" si="44"/>
        <v>5.7558781790356854E-17</v>
      </c>
      <c r="EA64" s="69">
        <f t="shared" ca="1" si="44"/>
        <v>1.1336592288377947E-17</v>
      </c>
      <c r="EB64" s="69">
        <f t="shared" ref="EB64:EL64" ca="1" si="45">-SUM(EB105:EB106,EB91:EB92)</f>
        <v>2.2328784120546624E-18</v>
      </c>
      <c r="EC64" s="69">
        <f t="shared" ca="1" si="45"/>
        <v>4.3978940326408413E-19</v>
      </c>
      <c r="ED64" s="69">
        <f t="shared" ca="1" si="45"/>
        <v>8.6621450431047252E-20</v>
      </c>
      <c r="EE64" s="69">
        <f t="shared" ca="1" si="45"/>
        <v>1.7060663847796698E-20</v>
      </c>
      <c r="EF64" s="69">
        <f t="shared" ca="1" si="45"/>
        <v>3.3600221210027203E-21</v>
      </c>
      <c r="EG64" s="69">
        <f t="shared" ca="1" si="45"/>
        <v>6.6153183671723227E-22</v>
      </c>
      <c r="EH64" s="69">
        <f t="shared" ca="1" si="45"/>
        <v>1.3035432589940609E-22</v>
      </c>
      <c r="EI64" s="69">
        <f t="shared" ca="1" si="45"/>
        <v>2.5596823562925211E-23</v>
      </c>
      <c r="EJ64" s="69">
        <f t="shared" ca="1" si="45"/>
        <v>4.8475206459240626E-24</v>
      </c>
      <c r="EK64" s="69">
        <f t="shared" ca="1" si="45"/>
        <v>5.4131070924097036E-25</v>
      </c>
      <c r="EL64" s="69">
        <f t="shared" ca="1" si="45"/>
        <v>0</v>
      </c>
    </row>
    <row r="65" spans="2:142" s="68" customFormat="1">
      <c r="B65" s="51" t="s">
        <v>50</v>
      </c>
      <c r="C65" s="70">
        <f>0</f>
        <v>0</v>
      </c>
      <c r="D65" s="69">
        <f t="shared" ref="D65:AI65" si="46">-D93</f>
        <v>0.24255396734405441</v>
      </c>
      <c r="E65" s="69">
        <f t="shared" si="46"/>
        <v>0.45382534791816292</v>
      </c>
      <c r="F65" s="69">
        <f t="shared" si="46"/>
        <v>0.43965134413191786</v>
      </c>
      <c r="G65" s="69">
        <f t="shared" si="46"/>
        <v>0.42016880116801331</v>
      </c>
      <c r="H65" s="69">
        <f t="shared" si="46"/>
        <v>1.4083587500990746</v>
      </c>
      <c r="I65" s="69">
        <f t="shared" si="46"/>
        <v>1.3674452333083278</v>
      </c>
      <c r="J65" s="69">
        <f t="shared" si="46"/>
        <v>1.3307479871042605</v>
      </c>
      <c r="K65" s="69">
        <f t="shared" si="46"/>
        <v>1.2970830138489058</v>
      </c>
      <c r="L65" s="69">
        <f t="shared" si="46"/>
        <v>1.263506582637711</v>
      </c>
      <c r="M65" s="69">
        <f t="shared" si="46"/>
        <v>1.2299969513700235</v>
      </c>
      <c r="N65" s="69">
        <f t="shared" si="46"/>
        <v>1.1965013692529136</v>
      </c>
      <c r="O65" s="69">
        <f t="shared" si="46"/>
        <v>1.1629886649143468</v>
      </c>
      <c r="P65" s="69">
        <f t="shared" si="46"/>
        <v>1.1294299860140493</v>
      </c>
      <c r="Q65" s="69">
        <f t="shared" si="46"/>
        <v>1.0958020342041668</v>
      </c>
      <c r="R65" s="69">
        <f t="shared" si="46"/>
        <v>1.0620871329055568</v>
      </c>
      <c r="S65" s="69">
        <f t="shared" si="46"/>
        <v>1.0282743250701114</v>
      </c>
      <c r="T65" s="69">
        <f t="shared" si="46"/>
        <v>0.99436183529476629</v>
      </c>
      <c r="U65" s="69">
        <f t="shared" si="46"/>
        <v>0.96035568309240837</v>
      </c>
      <c r="V65" s="69">
        <f t="shared" si="46"/>
        <v>0.92627345275237394</v>
      </c>
      <c r="W65" s="69">
        <f t="shared" si="46"/>
        <v>0.89214192273578008</v>
      </c>
      <c r="X65" s="69">
        <f t="shared" si="46"/>
        <v>0.85799852628823203</v>
      </c>
      <c r="Y65" s="69">
        <f t="shared" si="46"/>
        <v>0.82389070645403062</v>
      </c>
      <c r="Z65" s="69">
        <f t="shared" si="46"/>
        <v>0.78987502300699008</v>
      </c>
      <c r="AA65" s="69">
        <f t="shared" si="46"/>
        <v>0.75601539401500184</v>
      </c>
      <c r="AB65" s="69">
        <f t="shared" si="46"/>
        <v>0.722380771602394</v>
      </c>
      <c r="AC65" s="69">
        <f t="shared" si="46"/>
        <v>0.68904354157703562</v>
      </c>
      <c r="AD65" s="69">
        <f t="shared" si="46"/>
        <v>0.65607728369565721</v>
      </c>
      <c r="AE65" s="69">
        <f t="shared" si="46"/>
        <v>0.62355589649377929</v>
      </c>
      <c r="AF65" s="69">
        <f t="shared" si="46"/>
        <v>0.59155209903705486</v>
      </c>
      <c r="AG65" s="69">
        <f t="shared" si="46"/>
        <v>0.56558366167547414</v>
      </c>
      <c r="AH65" s="69">
        <f t="shared" si="46"/>
        <v>0.53666971638385352</v>
      </c>
      <c r="AI65" s="69">
        <f t="shared" si="46"/>
        <v>0.50568075988015748</v>
      </c>
      <c r="AJ65" s="69">
        <f t="shared" ref="AJ65:BO65" si="47">-AJ93</f>
        <v>0.47545269879300994</v>
      </c>
      <c r="AK65" s="69">
        <f t="shared" si="47"/>
        <v>0.44677958129205436</v>
      </c>
      <c r="AL65" s="69">
        <f t="shared" si="47"/>
        <v>0.41880335749987252</v>
      </c>
      <c r="AM65" s="69">
        <f t="shared" si="47"/>
        <v>0.39204830930826029</v>
      </c>
      <c r="AN65" s="69">
        <f t="shared" si="47"/>
        <v>0.36635832721823358</v>
      </c>
      <c r="AO65" s="69">
        <f t="shared" si="47"/>
        <v>0.34128829117533444</v>
      </c>
      <c r="AP65" s="69">
        <f t="shared" si="47"/>
        <v>0.31755850490652482</v>
      </c>
      <c r="AQ65" s="69">
        <f t="shared" si="47"/>
        <v>0.29530670498752781</v>
      </c>
      <c r="AR65" s="69">
        <f t="shared" si="47"/>
        <v>0.27416983839957471</v>
      </c>
      <c r="AS65" s="69">
        <f t="shared" si="47"/>
        <v>0.25439735102692157</v>
      </c>
      <c r="AT65" s="69">
        <f t="shared" si="47"/>
        <v>0.23577089663096207</v>
      </c>
      <c r="AU65" s="69">
        <f t="shared" si="47"/>
        <v>0.21822353381459358</v>
      </c>
      <c r="AV65" s="69">
        <f t="shared" si="47"/>
        <v>0.20154914734945439</v>
      </c>
      <c r="AW65" s="69">
        <f t="shared" si="47"/>
        <v>0.18603847030638762</v>
      </c>
      <c r="AX65" s="69">
        <f t="shared" si="47"/>
        <v>0.17158216866887521</v>
      </c>
      <c r="AY65" s="69">
        <f t="shared" si="47"/>
        <v>0.15792585859409264</v>
      </c>
      <c r="AZ65" s="69">
        <f t="shared" si="47"/>
        <v>0.145344393156288</v>
      </c>
      <c r="BA65" s="69">
        <f t="shared" si="47"/>
        <v>0.1336493836524088</v>
      </c>
      <c r="BB65" s="69">
        <f t="shared" si="47"/>
        <v>0.12280714566522649</v>
      </c>
      <c r="BC65" s="69">
        <f t="shared" si="47"/>
        <v>0.11287727502510018</v>
      </c>
      <c r="BD65" s="69">
        <f t="shared" si="47"/>
        <v>0.10369433464251344</v>
      </c>
      <c r="BE65" s="69">
        <f t="shared" si="47"/>
        <v>9.529306553784489E-2</v>
      </c>
      <c r="BF65" s="69">
        <f t="shared" si="47"/>
        <v>8.7479426395877899E-2</v>
      </c>
      <c r="BG65" s="69">
        <f t="shared" si="47"/>
        <v>8.0442267878923349E-2</v>
      </c>
      <c r="BH65" s="69">
        <f t="shared" si="47"/>
        <v>7.3951601202267431E-2</v>
      </c>
      <c r="BI65" s="69">
        <f t="shared" si="47"/>
        <v>6.8114337698798544E-2</v>
      </c>
      <c r="BJ65" s="69">
        <f t="shared" si="47"/>
        <v>6.2756782611436496E-2</v>
      </c>
      <c r="BK65" s="69">
        <f t="shared" si="47"/>
        <v>5.7821597708212769E-2</v>
      </c>
      <c r="BL65" s="69">
        <f t="shared" si="47"/>
        <v>5.3421692075723642E-2</v>
      </c>
      <c r="BM65" s="69">
        <f t="shared" si="47"/>
        <v>4.9381047563502124E-2</v>
      </c>
      <c r="BN65" s="69">
        <f t="shared" si="47"/>
        <v>4.5783582981446982E-2</v>
      </c>
      <c r="BO65" s="69">
        <f t="shared" si="47"/>
        <v>4.2530726503595684E-2</v>
      </c>
      <c r="BP65" s="69">
        <f t="shared" ref="BP65:CU65" si="48">-BP93</f>
        <v>3.958682169820997E-2</v>
      </c>
      <c r="BQ65" s="69">
        <f t="shared" si="48"/>
        <v>3.6913160861461541E-2</v>
      </c>
      <c r="BR65" s="69">
        <f t="shared" si="48"/>
        <v>3.4495779218781775E-2</v>
      </c>
      <c r="BS65" s="69">
        <f t="shared" si="48"/>
        <v>3.2276403223149841E-2</v>
      </c>
      <c r="BT65" s="69">
        <f t="shared" si="48"/>
        <v>3.0210017919350726E-2</v>
      </c>
      <c r="BU65" s="69">
        <f t="shared" si="48"/>
        <v>2.830649849092123E-2</v>
      </c>
      <c r="BV65" s="69">
        <f t="shared" si="48"/>
        <v>2.6542696559337477E-2</v>
      </c>
      <c r="BW65" s="69">
        <f t="shared" si="48"/>
        <v>2.4887429788649246E-2</v>
      </c>
      <c r="BX65" s="69">
        <f t="shared" si="48"/>
        <v>2.3326399065214394E-2</v>
      </c>
      <c r="BY65" s="69">
        <f t="shared" si="48"/>
        <v>2.1840254578345982E-2</v>
      </c>
      <c r="BZ65" s="69">
        <f t="shared" si="48"/>
        <v>2.0430393248054093E-2</v>
      </c>
      <c r="CA65" s="69">
        <f t="shared" si="48"/>
        <v>1.9085318708875924E-2</v>
      </c>
      <c r="CB65" s="69">
        <f t="shared" si="48"/>
        <v>1.7791470599374165E-2</v>
      </c>
      <c r="CC65" s="69">
        <f t="shared" si="48"/>
        <v>1.6541253895128099E-2</v>
      </c>
      <c r="CD65" s="69">
        <f t="shared" si="48"/>
        <v>1.5328504660680921E-2</v>
      </c>
      <c r="CE65" s="69">
        <f t="shared" si="48"/>
        <v>1.4148782301340573E-2</v>
      </c>
      <c r="CF65" s="69">
        <f t="shared" si="48"/>
        <v>1.2999398960167425E-2</v>
      </c>
      <c r="CG65" s="69">
        <f t="shared" si="48"/>
        <v>1.1879826523007691E-2</v>
      </c>
      <c r="CH65" s="69">
        <f t="shared" si="48"/>
        <v>1.0791439636539505E-2</v>
      </c>
      <c r="CI65" s="69">
        <f t="shared" si="48"/>
        <v>9.7371232463484524E-3</v>
      </c>
      <c r="CJ65" s="69">
        <f t="shared" si="48"/>
        <v>8.7208731577140819E-3</v>
      </c>
      <c r="CK65" s="69">
        <f t="shared" si="48"/>
        <v>7.7473213120025581E-3</v>
      </c>
      <c r="CL65" s="69">
        <f t="shared" si="48"/>
        <v>6.821305202786055E-3</v>
      </c>
      <c r="CM65" s="69">
        <f t="shared" si="48"/>
        <v>5.9476410030651289E-3</v>
      </c>
      <c r="CN65" s="69">
        <f t="shared" si="48"/>
        <v>5.1309101989957572E-3</v>
      </c>
      <c r="CO65" s="69">
        <f t="shared" si="48"/>
        <v>4.3752569282295367E-3</v>
      </c>
      <c r="CP65" s="69">
        <f t="shared" si="48"/>
        <v>3.6841630575698107E-3</v>
      </c>
      <c r="CQ65" s="69">
        <f t="shared" si="48"/>
        <v>3.0602304708610456E-3</v>
      </c>
      <c r="CR65" s="69">
        <f t="shared" si="48"/>
        <v>2.5049634346598765E-3</v>
      </c>
      <c r="CS65" s="69">
        <f t="shared" si="48"/>
        <v>2.0185276842968839E-3</v>
      </c>
      <c r="CT65" s="69">
        <f t="shared" si="48"/>
        <v>1.5996046515614837E-3</v>
      </c>
      <c r="CU65" s="69">
        <f t="shared" si="48"/>
        <v>1.2452823618082031E-3</v>
      </c>
      <c r="CV65" s="69">
        <f t="shared" ref="CV65:EA65" si="49">-CV93</f>
        <v>9.5116584453437767E-4</v>
      </c>
      <c r="CW65" s="69">
        <f t="shared" si="49"/>
        <v>7.1161987184661598E-4</v>
      </c>
      <c r="CX65" s="69">
        <f t="shared" si="49"/>
        <v>5.2021347978850087E-4</v>
      </c>
      <c r="CY65" s="69">
        <f t="shared" si="49"/>
        <v>3.7024087888186012E-4</v>
      </c>
      <c r="CZ65" s="69">
        <f t="shared" si="49"/>
        <v>2.5520467258085188E-4</v>
      </c>
      <c r="DA65" s="69">
        <f t="shared" si="49"/>
        <v>1.6917233361199134E-4</v>
      </c>
      <c r="DB65" s="69">
        <f t="shared" si="49"/>
        <v>1.0685576471893259E-4</v>
      </c>
      <c r="DC65" s="69">
        <f t="shared" si="49"/>
        <v>6.356106824012496E-5</v>
      </c>
      <c r="DD65" s="69">
        <f t="shared" si="49"/>
        <v>3.509608936101846E-5</v>
      </c>
      <c r="DE65" s="69">
        <f t="shared" si="49"/>
        <v>1.7658521938663689E-5</v>
      </c>
      <c r="DF65" s="69">
        <f t="shared" si="49"/>
        <v>7.8969133386390097E-6</v>
      </c>
      <c r="DG65" s="69">
        <f t="shared" si="49"/>
        <v>3.0288392009429616E-6</v>
      </c>
      <c r="DH65" s="69">
        <f t="shared" si="49"/>
        <v>9.4573512552045785E-7</v>
      </c>
      <c r="DI65" s="69">
        <f t="shared" si="49"/>
        <v>2.1929322164456649E-7</v>
      </c>
      <c r="DJ65" s="69">
        <f t="shared" si="49"/>
        <v>4.2983157626859738E-8</v>
      </c>
      <c r="DK65" s="69">
        <f t="shared" si="49"/>
        <v>8.4250173647739097E-9</v>
      </c>
      <c r="DL65" s="69">
        <f t="shared" si="49"/>
        <v>1.6513634669638407E-9</v>
      </c>
      <c r="DM65" s="69">
        <f t="shared" si="49"/>
        <v>3.2367855001312923E-10</v>
      </c>
      <c r="DN65" s="69">
        <f t="shared" si="49"/>
        <v>6.3443122106102013E-11</v>
      </c>
      <c r="DO65" s="69">
        <f t="shared" si="49"/>
        <v>1.2435250938246613E-11</v>
      </c>
      <c r="DP65" s="69">
        <f t="shared" si="49"/>
        <v>2.4373839096153374E-12</v>
      </c>
      <c r="DQ65" s="69">
        <f t="shared" si="49"/>
        <v>4.777412105090906E-13</v>
      </c>
      <c r="DR65" s="69">
        <f t="shared" si="49"/>
        <v>9.3639880560592468E-14</v>
      </c>
      <c r="DS65" s="69">
        <f t="shared" si="49"/>
        <v>1.8353900631912519E-14</v>
      </c>
      <c r="DT65" s="69">
        <f t="shared" si="49"/>
        <v>3.5974542595134205E-15</v>
      </c>
      <c r="DU65" s="69">
        <f t="shared" si="49"/>
        <v>7.0511761620596139E-16</v>
      </c>
      <c r="DV65" s="69">
        <f t="shared" si="49"/>
        <v>1.3820610536269472E-16</v>
      </c>
      <c r="DW65" s="69">
        <f t="shared" si="49"/>
        <v>2.7088956273014798E-17</v>
      </c>
      <c r="DX65" s="69">
        <f t="shared" si="49"/>
        <v>5.3095375324741467E-18</v>
      </c>
      <c r="DY65" s="69">
        <f t="shared" si="49"/>
        <v>1.0406878820115312E-18</v>
      </c>
      <c r="DZ65" s="69">
        <f t="shared" si="49"/>
        <v>2.0397816407101354E-19</v>
      </c>
      <c r="EA65" s="69">
        <f t="shared" si="49"/>
        <v>3.9980317229511085E-20</v>
      </c>
      <c r="EB65" s="69">
        <f t="shared" ref="EB65:EL65" si="50">-EB93</f>
        <v>7.8362462853228606E-21</v>
      </c>
      <c r="EC65" s="69">
        <f t="shared" si="50"/>
        <v>1.5359203047518684E-21</v>
      </c>
      <c r="ED65" s="69">
        <f t="shared" si="50"/>
        <v>3.0104251594236262E-22</v>
      </c>
      <c r="EE65" s="69">
        <f t="shared" si="50"/>
        <v>5.9004300004796295E-23</v>
      </c>
      <c r="EF65" s="69">
        <f t="shared" si="50"/>
        <v>1.156451511142706E-23</v>
      </c>
      <c r="EG65" s="69">
        <f t="shared" si="50"/>
        <v>2.2660945032794196E-24</v>
      </c>
      <c r="EH65" s="69">
        <f t="shared" si="50"/>
        <v>4.4370492394516606E-25</v>
      </c>
      <c r="EI65" s="69">
        <f t="shared" si="50"/>
        <v>8.6387323599283466E-26</v>
      </c>
      <c r="EJ65" s="69">
        <f t="shared" si="50"/>
        <v>1.6772434539405648E-26</v>
      </c>
      <c r="EK65" s="69">
        <f t="shared" si="50"/>
        <v>1.6336317672791905E-27</v>
      </c>
      <c r="EL65" s="69">
        <f t="shared" si="50"/>
        <v>0</v>
      </c>
    </row>
    <row r="66" spans="2:142" s="68" customFormat="1">
      <c r="B66" s="51" t="s">
        <v>49</v>
      </c>
      <c r="C66" s="70">
        <f>0</f>
        <v>0</v>
      </c>
      <c r="D66" s="69">
        <f t="shared" ref="D66:AI66" ca="1" si="51">-D94-D107</f>
        <v>8.0589247991393678E-2</v>
      </c>
      <c r="E66" s="69">
        <f t="shared" ca="1" si="51"/>
        <v>0.63021953158604105</v>
      </c>
      <c r="F66" s="69">
        <f t="shared" ca="1" si="51"/>
        <v>1.4487608359020356</v>
      </c>
      <c r="G66" s="69">
        <f t="shared" ca="1" si="51"/>
        <v>3.3839425143072623</v>
      </c>
      <c r="H66" s="69">
        <f t="shared" ca="1" si="51"/>
        <v>7.8273659548870116</v>
      </c>
      <c r="I66" s="69">
        <f t="shared" ca="1" si="51"/>
        <v>14.39741797137372</v>
      </c>
      <c r="J66" s="69">
        <f t="shared" ca="1" si="51"/>
        <v>21.154997527809485</v>
      </c>
      <c r="K66" s="69">
        <f t="shared" ca="1" si="51"/>
        <v>28.537426141067648</v>
      </c>
      <c r="L66" s="69">
        <f t="shared" ca="1" si="51"/>
        <v>34.798196788884404</v>
      </c>
      <c r="M66" s="69">
        <f t="shared" ca="1" si="51"/>
        <v>37.874871221370952</v>
      </c>
      <c r="N66" s="69">
        <f t="shared" ca="1" si="51"/>
        <v>38.180976759347026</v>
      </c>
      <c r="O66" s="69">
        <f t="shared" ca="1" si="51"/>
        <v>34.27892668705173</v>
      </c>
      <c r="P66" s="69">
        <f t="shared" ca="1" si="51"/>
        <v>32.067051387284081</v>
      </c>
      <c r="Q66" s="69">
        <f t="shared" ca="1" si="51"/>
        <v>29.769331831019571</v>
      </c>
      <c r="R66" s="69">
        <f t="shared" ca="1" si="51"/>
        <v>29.924344433663073</v>
      </c>
      <c r="S66" s="69">
        <f t="shared" ca="1" si="51"/>
        <v>31.994418563240387</v>
      </c>
      <c r="T66" s="69">
        <f t="shared" ca="1" si="51"/>
        <v>34.589522390903028</v>
      </c>
      <c r="U66" s="69">
        <f t="shared" ca="1" si="51"/>
        <v>37.46253195368697</v>
      </c>
      <c r="V66" s="69">
        <f t="shared" ca="1" si="51"/>
        <v>40.637271495453845</v>
      </c>
      <c r="W66" s="69">
        <f t="shared" ca="1" si="51"/>
        <v>44.124646533104936</v>
      </c>
      <c r="X66" s="69">
        <f t="shared" ca="1" si="51"/>
        <v>48.052636278848873</v>
      </c>
      <c r="Y66" s="69">
        <f t="shared" ca="1" si="51"/>
        <v>52.379547130878642</v>
      </c>
      <c r="Z66" s="69">
        <f t="shared" ca="1" si="51"/>
        <v>56.977739299711686</v>
      </c>
      <c r="AA66" s="69">
        <f t="shared" ca="1" si="51"/>
        <v>61.767735191570345</v>
      </c>
      <c r="AB66" s="69">
        <f t="shared" ca="1" si="51"/>
        <v>66.71449849015265</v>
      </c>
      <c r="AC66" s="69">
        <f t="shared" ca="1" si="51"/>
        <v>71.902129204798072</v>
      </c>
      <c r="AD66" s="69">
        <f t="shared" ca="1" si="51"/>
        <v>77.267772013615485</v>
      </c>
      <c r="AE66" s="69">
        <f t="shared" ca="1" si="51"/>
        <v>82.654915938859475</v>
      </c>
      <c r="AF66" s="69">
        <f t="shared" ca="1" si="51"/>
        <v>88.118541085399301</v>
      </c>
      <c r="AG66" s="69">
        <f t="shared" ca="1" si="51"/>
        <v>93.640403266535884</v>
      </c>
      <c r="AH66" s="69">
        <f t="shared" ca="1" si="51"/>
        <v>99.228514875431188</v>
      </c>
      <c r="AI66" s="69">
        <f t="shared" ca="1" si="51"/>
        <v>104.96436842318377</v>
      </c>
      <c r="AJ66" s="69">
        <f t="shared" ref="AJ66:BO66" ca="1" si="52">-AJ94-AJ107</f>
        <v>110.3621925607974</v>
      </c>
      <c r="AK66" s="69">
        <f t="shared" ca="1" si="52"/>
        <v>115.58000485505525</v>
      </c>
      <c r="AL66" s="69">
        <f t="shared" ca="1" si="52"/>
        <v>120.60249959766287</v>
      </c>
      <c r="AM66" s="69">
        <f t="shared" ca="1" si="52"/>
        <v>125.37744351425263</v>
      </c>
      <c r="AN66" s="69">
        <f t="shared" ca="1" si="52"/>
        <v>130.01429891256794</v>
      </c>
      <c r="AO66" s="69">
        <f t="shared" ca="1" si="52"/>
        <v>134.57938642512676</v>
      </c>
      <c r="AP66" s="69">
        <f t="shared" ca="1" si="52"/>
        <v>139.03370096218416</v>
      </c>
      <c r="AQ66" s="69">
        <f t="shared" ca="1" si="52"/>
        <v>143.17370697946802</v>
      </c>
      <c r="AR66" s="69">
        <f t="shared" ca="1" si="52"/>
        <v>147.05878078670753</v>
      </c>
      <c r="AS66" s="69">
        <f t="shared" ca="1" si="52"/>
        <v>150.51469467921348</v>
      </c>
      <c r="AT66" s="69">
        <f t="shared" ca="1" si="52"/>
        <v>153.56535132207352</v>
      </c>
      <c r="AU66" s="69">
        <f t="shared" ca="1" si="52"/>
        <v>156.16342504055871</v>
      </c>
      <c r="AV66" s="69">
        <f t="shared" ca="1" si="52"/>
        <v>158.17022821339955</v>
      </c>
      <c r="AW66" s="69">
        <f t="shared" ca="1" si="52"/>
        <v>159.73517242154324</v>
      </c>
      <c r="AX66" s="69">
        <f t="shared" ca="1" si="52"/>
        <v>160.79188201957524</v>
      </c>
      <c r="AY66" s="69">
        <f t="shared" ca="1" si="52"/>
        <v>161.39756793504878</v>
      </c>
      <c r="AZ66" s="69">
        <f t="shared" ca="1" si="52"/>
        <v>161.61780175986451</v>
      </c>
      <c r="BA66" s="69">
        <f t="shared" ca="1" si="52"/>
        <v>161.36277646440237</v>
      </c>
      <c r="BB66" s="69">
        <f t="shared" ca="1" si="52"/>
        <v>160.6441772958357</v>
      </c>
      <c r="BC66" s="69">
        <f t="shared" ca="1" si="52"/>
        <v>159.4301522699281</v>
      </c>
      <c r="BD66" s="69">
        <f t="shared" ca="1" si="52"/>
        <v>157.88610816252452</v>
      </c>
      <c r="BE66" s="69">
        <f t="shared" ca="1" si="52"/>
        <v>156.11327123282572</v>
      </c>
      <c r="BF66" s="69">
        <f t="shared" ca="1" si="52"/>
        <v>154.05816571370192</v>
      </c>
      <c r="BG66" s="69">
        <f t="shared" ca="1" si="52"/>
        <v>151.67767586476776</v>
      </c>
      <c r="BH66" s="69">
        <f t="shared" ca="1" si="52"/>
        <v>148.94128917639861</v>
      </c>
      <c r="BI66" s="69">
        <f t="shared" ca="1" si="52"/>
        <v>145.82164069810469</v>
      </c>
      <c r="BJ66" s="69">
        <f t="shared" ca="1" si="52"/>
        <v>142.42816746392612</v>
      </c>
      <c r="BK66" s="69">
        <f t="shared" ca="1" si="52"/>
        <v>138.83025484860315</v>
      </c>
      <c r="BL66" s="69">
        <f t="shared" ca="1" si="52"/>
        <v>134.99737310655451</v>
      </c>
      <c r="BM66" s="69">
        <f t="shared" ca="1" si="52"/>
        <v>130.93774319933596</v>
      </c>
      <c r="BN66" s="69">
        <f t="shared" ca="1" si="52"/>
        <v>126.7296684917788</v>
      </c>
      <c r="BO66" s="69">
        <f t="shared" ca="1" si="52"/>
        <v>122.4404106448028</v>
      </c>
      <c r="BP66" s="69">
        <f t="shared" ref="BP66:CU66" ca="1" si="53">-BP94-BP107</f>
        <v>118.07152217808849</v>
      </c>
      <c r="BQ66" s="69">
        <f t="shared" ca="1" si="53"/>
        <v>113.7118873447031</v>
      </c>
      <c r="BR66" s="69">
        <f t="shared" ca="1" si="53"/>
        <v>109.40002336384947</v>
      </c>
      <c r="BS66" s="69">
        <f t="shared" ca="1" si="53"/>
        <v>105.25951908607814</v>
      </c>
      <c r="BT66" s="69">
        <f t="shared" ca="1" si="53"/>
        <v>101.25320105123677</v>
      </c>
      <c r="BU66" s="69">
        <f t="shared" ca="1" si="53"/>
        <v>97.539538783565746</v>
      </c>
      <c r="BV66" s="69">
        <f t="shared" ca="1" si="53"/>
        <v>94.171891659712244</v>
      </c>
      <c r="BW66" s="69">
        <f t="shared" ca="1" si="53"/>
        <v>91.218032709678965</v>
      </c>
      <c r="BX66" s="69">
        <f t="shared" ca="1" si="53"/>
        <v>88.82968218715412</v>
      </c>
      <c r="BY66" s="69">
        <f t="shared" ca="1" si="53"/>
        <v>87.0318276874997</v>
      </c>
      <c r="BZ66" s="69">
        <f t="shared" ca="1" si="53"/>
        <v>85.876095987888689</v>
      </c>
      <c r="CA66" s="69">
        <f t="shared" ca="1" si="53"/>
        <v>85.476811459529458</v>
      </c>
      <c r="CB66" s="69">
        <f t="shared" ca="1" si="53"/>
        <v>85.705445337724782</v>
      </c>
      <c r="CC66" s="69">
        <f t="shared" ca="1" si="53"/>
        <v>86.482185541488704</v>
      </c>
      <c r="CD66" s="69">
        <f t="shared" ca="1" si="53"/>
        <v>87.785154451113684</v>
      </c>
      <c r="CE66" s="69">
        <f t="shared" ca="1" si="53"/>
        <v>89.353405642525772</v>
      </c>
      <c r="CF66" s="69">
        <f t="shared" ca="1" si="53"/>
        <v>91.186538593569708</v>
      </c>
      <c r="CG66" s="69">
        <f t="shared" ca="1" si="53"/>
        <v>93.07068590393267</v>
      </c>
      <c r="CH66" s="69">
        <f t="shared" ca="1" si="53"/>
        <v>94.899786899686873</v>
      </c>
      <c r="CI66" s="69">
        <f t="shared" ca="1" si="53"/>
        <v>96.784935279668119</v>
      </c>
      <c r="CJ66" s="69">
        <f t="shared" ca="1" si="53"/>
        <v>98.437055881663724</v>
      </c>
      <c r="CK66" s="69">
        <f t="shared" ca="1" si="53"/>
        <v>100.12206262221504</v>
      </c>
      <c r="CL66" s="69">
        <f t="shared" ca="1" si="53"/>
        <v>101.46943307548995</v>
      </c>
      <c r="CM66" s="69">
        <f t="shared" ca="1" si="53"/>
        <v>102.26878013339618</v>
      </c>
      <c r="CN66" s="69">
        <f t="shared" ca="1" si="53"/>
        <v>102.52356448142432</v>
      </c>
      <c r="CO66" s="69">
        <f t="shared" ca="1" si="53"/>
        <v>101.66562880656548</v>
      </c>
      <c r="CP66" s="69">
        <f t="shared" ca="1" si="53"/>
        <v>99.879250315889578</v>
      </c>
      <c r="CQ66" s="69">
        <f t="shared" ca="1" si="53"/>
        <v>96.631494808759882</v>
      </c>
      <c r="CR66" s="69">
        <f t="shared" ca="1" si="53"/>
        <v>91.998681635834714</v>
      </c>
      <c r="CS66" s="69">
        <f t="shared" ca="1" si="53"/>
        <v>86.249160976921033</v>
      </c>
      <c r="CT66" s="69">
        <f t="shared" ca="1" si="53"/>
        <v>79.111684850916518</v>
      </c>
      <c r="CU66" s="69">
        <f t="shared" ca="1" si="53"/>
        <v>71.290009652570035</v>
      </c>
      <c r="CV66" s="69">
        <f t="shared" ref="CV66:EA66" ca="1" si="54">-CV94-CV107</f>
        <v>62.833652515312274</v>
      </c>
      <c r="CW66" s="69">
        <f t="shared" ca="1" si="54"/>
        <v>53.929591018422393</v>
      </c>
      <c r="CX66" s="69">
        <f t="shared" ca="1" si="54"/>
        <v>45.370286151218799</v>
      </c>
      <c r="CY66" s="69">
        <f t="shared" ca="1" si="54"/>
        <v>37.276849246374631</v>
      </c>
      <c r="CZ66" s="69">
        <f t="shared" ca="1" si="54"/>
        <v>30.152614617457388</v>
      </c>
      <c r="DA66" s="69">
        <f t="shared" ca="1" si="54"/>
        <v>4.5215362956132186</v>
      </c>
      <c r="DB66" s="69">
        <f t="shared" ca="1" si="54"/>
        <v>3.4089515824464236</v>
      </c>
      <c r="DC66" s="69">
        <f t="shared" ca="1" si="54"/>
        <v>2.4345234484634375</v>
      </c>
      <c r="DD66" s="69">
        <f t="shared" ca="1" si="54"/>
        <v>1.6269962826658473</v>
      </c>
      <c r="DE66" s="69">
        <f t="shared" ca="1" si="54"/>
        <v>0.9999016968876453</v>
      </c>
      <c r="DF66" s="69">
        <f t="shared" ca="1" si="54"/>
        <v>0.5535077193578114</v>
      </c>
      <c r="DG66" s="69">
        <f t="shared" ca="1" si="54"/>
        <v>0.26788348843476256</v>
      </c>
      <c r="DH66" s="69">
        <f t="shared" ca="1" si="54"/>
        <v>0.10895040868743371</v>
      </c>
      <c r="DI66" s="69">
        <f t="shared" ca="1" si="54"/>
        <v>3.4185576367812519E-2</v>
      </c>
      <c r="DJ66" s="69">
        <f t="shared" ca="1" si="54"/>
        <v>8.4413809987509397E-3</v>
      </c>
      <c r="DK66" s="69">
        <f t="shared" ca="1" si="54"/>
        <v>1.7724291754053327E-3</v>
      </c>
      <c r="DL66" s="69">
        <f t="shared" ca="1" si="54"/>
        <v>3.7209900589224337E-4</v>
      </c>
      <c r="DM66" s="69">
        <f t="shared" ca="1" si="54"/>
        <v>7.8123998822070284E-5</v>
      </c>
      <c r="DN66" s="69">
        <f t="shared" ca="1" si="54"/>
        <v>1.6408963124084662E-5</v>
      </c>
      <c r="DO66" s="69">
        <f t="shared" ca="1" si="54"/>
        <v>3.4466254044903245E-6</v>
      </c>
      <c r="DP66" s="69">
        <f t="shared" ca="1" si="54"/>
        <v>7.2414843028495428E-7</v>
      </c>
      <c r="DQ66" s="69">
        <f t="shared" ca="1" si="54"/>
        <v>1.5243835961386403E-7</v>
      </c>
      <c r="DR66" s="69">
        <f t="shared" ca="1" si="54"/>
        <v>3.2092926114671384E-8</v>
      </c>
      <c r="DS66" s="69">
        <f t="shared" ca="1" si="54"/>
        <v>6.7594045421329551E-9</v>
      </c>
      <c r="DT66" s="69">
        <f t="shared" ca="1" si="54"/>
        <v>1.4249739832825747E-9</v>
      </c>
      <c r="DU66" s="69">
        <f t="shared" ca="1" si="54"/>
        <v>2.9904963253596554E-10</v>
      </c>
      <c r="DV66" s="69">
        <f t="shared" ca="1" si="54"/>
        <v>6.2760480070793611E-11</v>
      </c>
      <c r="DW66" s="69">
        <f t="shared" ca="1" si="54"/>
        <v>1.3171112921114303E-11</v>
      </c>
      <c r="DX66" s="69">
        <f t="shared" ca="1" si="54"/>
        <v>2.7641978146235009E-12</v>
      </c>
      <c r="DY66" s="69">
        <f t="shared" ca="1" si="54"/>
        <v>5.8013117897167393E-13</v>
      </c>
      <c r="DZ66" s="69">
        <f t="shared" ca="1" si="54"/>
        <v>1.2175758662432388E-13</v>
      </c>
      <c r="EA66" s="69">
        <f t="shared" ca="1" si="54"/>
        <v>2.5555949950274633E-14</v>
      </c>
      <c r="EB66" s="69">
        <f t="shared" ref="EB66:EL66" ca="1" si="55">-EB94-EB107</f>
        <v>5.3639340722197075E-15</v>
      </c>
      <c r="EC66" s="69">
        <f t="shared" ca="1" si="55"/>
        <v>1.1259155531956664E-15</v>
      </c>
      <c r="ED66" s="69">
        <f t="shared" ca="1" si="55"/>
        <v>2.3633775302324323E-16</v>
      </c>
      <c r="EE66" s="69">
        <f t="shared" ca="1" si="55"/>
        <v>4.9606823936213709E-17</v>
      </c>
      <c r="EF66" s="69">
        <f t="shared" ca="1" si="55"/>
        <v>1.0413098996748367E-17</v>
      </c>
      <c r="EG66" s="69">
        <f t="shared" ca="1" si="55"/>
        <v>2.1854197183354649E-18</v>
      </c>
      <c r="EH66" s="69">
        <f t="shared" ca="1" si="55"/>
        <v>4.5917702752245554E-19</v>
      </c>
      <c r="EI66" s="69">
        <f t="shared" ca="1" si="55"/>
        <v>9.6219558201204763E-20</v>
      </c>
      <c r="EJ66" s="69">
        <f t="shared" ca="1" si="55"/>
        <v>2.0762141104800055E-20</v>
      </c>
      <c r="EK66" s="69">
        <f t="shared" ca="1" si="55"/>
        <v>3.1574233760226866E-21</v>
      </c>
      <c r="EL66" s="69">
        <f t="shared" ca="1" si="55"/>
        <v>0</v>
      </c>
    </row>
    <row r="67" spans="2:142" s="68" customFormat="1">
      <c r="B67" s="51" t="s">
        <v>48</v>
      </c>
      <c r="C67" s="70">
        <f>0</f>
        <v>0</v>
      </c>
      <c r="D67" s="69">
        <f t="shared" ref="D67:AI67" ca="1" si="56">-D96-D109</f>
        <v>13.51946826409911</v>
      </c>
      <c r="E67" s="69">
        <f t="shared" ca="1" si="56"/>
        <v>12.492045501085535</v>
      </c>
      <c r="F67" s="69">
        <f t="shared" ca="1" si="56"/>
        <v>13.720202419986851</v>
      </c>
      <c r="G67" s="69">
        <f t="shared" ca="1" si="56"/>
        <v>15.172403664144952</v>
      </c>
      <c r="H67" s="69">
        <f t="shared" ca="1" si="56"/>
        <v>9.2416373792781812</v>
      </c>
      <c r="I67" s="69">
        <f t="shared" ca="1" si="56"/>
        <v>7.0743541475436711</v>
      </c>
      <c r="J67" s="69">
        <f t="shared" ca="1" si="56"/>
        <v>5.005717512879837</v>
      </c>
      <c r="K67" s="69">
        <f t="shared" ca="1" si="56"/>
        <v>2.6230976799801393</v>
      </c>
      <c r="L67" s="69">
        <f t="shared" ca="1" si="56"/>
        <v>4.0364751828813292E-5</v>
      </c>
      <c r="M67" s="69">
        <f t="shared" ca="1" si="56"/>
        <v>0</v>
      </c>
      <c r="N67" s="69">
        <f t="shared" ca="1" si="56"/>
        <v>0</v>
      </c>
      <c r="O67" s="69">
        <f t="shared" ca="1" si="56"/>
        <v>0</v>
      </c>
      <c r="P67" s="69">
        <f t="shared" ca="1" si="56"/>
        <v>0</v>
      </c>
      <c r="Q67" s="69">
        <f t="shared" ca="1" si="56"/>
        <v>0</v>
      </c>
      <c r="R67" s="69">
        <f t="shared" ca="1" si="56"/>
        <v>0</v>
      </c>
      <c r="S67" s="69">
        <f t="shared" ca="1" si="56"/>
        <v>0</v>
      </c>
      <c r="T67" s="69">
        <f t="shared" ca="1" si="56"/>
        <v>0</v>
      </c>
      <c r="U67" s="69">
        <f t="shared" ca="1" si="56"/>
        <v>0</v>
      </c>
      <c r="V67" s="69">
        <f t="shared" ca="1" si="56"/>
        <v>0</v>
      </c>
      <c r="W67" s="69">
        <f t="shared" ca="1" si="56"/>
        <v>0</v>
      </c>
      <c r="X67" s="69">
        <f t="shared" ca="1" si="56"/>
        <v>0</v>
      </c>
      <c r="Y67" s="69">
        <f t="shared" ca="1" si="56"/>
        <v>0</v>
      </c>
      <c r="Z67" s="69">
        <f t="shared" ca="1" si="56"/>
        <v>0</v>
      </c>
      <c r="AA67" s="69">
        <f t="shared" ca="1" si="56"/>
        <v>0</v>
      </c>
      <c r="AB67" s="69">
        <f t="shared" ca="1" si="56"/>
        <v>0</v>
      </c>
      <c r="AC67" s="69">
        <f t="shared" ca="1" si="56"/>
        <v>0</v>
      </c>
      <c r="AD67" s="69">
        <f t="shared" ca="1" si="56"/>
        <v>0</v>
      </c>
      <c r="AE67" s="69">
        <f t="shared" ca="1" si="56"/>
        <v>0</v>
      </c>
      <c r="AF67" s="69">
        <f t="shared" ca="1" si="56"/>
        <v>0</v>
      </c>
      <c r="AG67" s="69">
        <f t="shared" ca="1" si="56"/>
        <v>0</v>
      </c>
      <c r="AH67" s="69">
        <f t="shared" ca="1" si="56"/>
        <v>0</v>
      </c>
      <c r="AI67" s="69">
        <f t="shared" ca="1" si="56"/>
        <v>0</v>
      </c>
      <c r="AJ67" s="69">
        <f t="shared" ref="AJ67:BO67" ca="1" si="57">-AJ96-AJ109</f>
        <v>0</v>
      </c>
      <c r="AK67" s="69">
        <f t="shared" ca="1" si="57"/>
        <v>0</v>
      </c>
      <c r="AL67" s="69">
        <f t="shared" ca="1" si="57"/>
        <v>0</v>
      </c>
      <c r="AM67" s="69">
        <f t="shared" ca="1" si="57"/>
        <v>0</v>
      </c>
      <c r="AN67" s="69">
        <f t="shared" ca="1" si="57"/>
        <v>0</v>
      </c>
      <c r="AO67" s="69">
        <f t="shared" ca="1" si="57"/>
        <v>0</v>
      </c>
      <c r="AP67" s="69">
        <f t="shared" ca="1" si="57"/>
        <v>0</v>
      </c>
      <c r="AQ67" s="69">
        <f t="shared" ca="1" si="57"/>
        <v>0</v>
      </c>
      <c r="AR67" s="69">
        <f t="shared" ca="1" si="57"/>
        <v>0</v>
      </c>
      <c r="AS67" s="69">
        <f t="shared" ca="1" si="57"/>
        <v>0</v>
      </c>
      <c r="AT67" s="69">
        <f t="shared" ca="1" si="57"/>
        <v>0</v>
      </c>
      <c r="AU67" s="69">
        <f t="shared" ca="1" si="57"/>
        <v>0</v>
      </c>
      <c r="AV67" s="69">
        <f t="shared" ca="1" si="57"/>
        <v>0</v>
      </c>
      <c r="AW67" s="69">
        <f t="shared" ca="1" si="57"/>
        <v>0</v>
      </c>
      <c r="AX67" s="69">
        <f t="shared" ca="1" si="57"/>
        <v>0</v>
      </c>
      <c r="AY67" s="69">
        <f t="shared" ca="1" si="57"/>
        <v>0</v>
      </c>
      <c r="AZ67" s="69">
        <f t="shared" ca="1" si="57"/>
        <v>0</v>
      </c>
      <c r="BA67" s="69">
        <f t="shared" ca="1" si="57"/>
        <v>0</v>
      </c>
      <c r="BB67" s="69">
        <f t="shared" ca="1" si="57"/>
        <v>0</v>
      </c>
      <c r="BC67" s="69">
        <f t="shared" ca="1" si="57"/>
        <v>0</v>
      </c>
      <c r="BD67" s="69">
        <f t="shared" ca="1" si="57"/>
        <v>0</v>
      </c>
      <c r="BE67" s="69">
        <f t="shared" ca="1" si="57"/>
        <v>0</v>
      </c>
      <c r="BF67" s="69">
        <f t="shared" ca="1" si="57"/>
        <v>0</v>
      </c>
      <c r="BG67" s="69">
        <f t="shared" ca="1" si="57"/>
        <v>0</v>
      </c>
      <c r="BH67" s="69">
        <f t="shared" ca="1" si="57"/>
        <v>0</v>
      </c>
      <c r="BI67" s="69">
        <f t="shared" ca="1" si="57"/>
        <v>0</v>
      </c>
      <c r="BJ67" s="69">
        <f t="shared" ca="1" si="57"/>
        <v>0</v>
      </c>
      <c r="BK67" s="69">
        <f t="shared" ca="1" si="57"/>
        <v>0</v>
      </c>
      <c r="BL67" s="69">
        <f t="shared" ca="1" si="57"/>
        <v>0</v>
      </c>
      <c r="BM67" s="69">
        <f t="shared" ca="1" si="57"/>
        <v>0</v>
      </c>
      <c r="BN67" s="69">
        <f t="shared" ca="1" si="57"/>
        <v>0</v>
      </c>
      <c r="BO67" s="69">
        <f t="shared" ca="1" si="57"/>
        <v>0</v>
      </c>
      <c r="BP67" s="69">
        <f t="shared" ref="BP67:CU67" ca="1" si="58">-BP96-BP109</f>
        <v>0</v>
      </c>
      <c r="BQ67" s="69">
        <f t="shared" ca="1" si="58"/>
        <v>0</v>
      </c>
      <c r="BR67" s="69">
        <f t="shared" ca="1" si="58"/>
        <v>0</v>
      </c>
      <c r="BS67" s="69">
        <f t="shared" ca="1" si="58"/>
        <v>0</v>
      </c>
      <c r="BT67" s="69">
        <f t="shared" ca="1" si="58"/>
        <v>0</v>
      </c>
      <c r="BU67" s="69">
        <f t="shared" ca="1" si="58"/>
        <v>0</v>
      </c>
      <c r="BV67" s="69">
        <f t="shared" ca="1" si="58"/>
        <v>0</v>
      </c>
      <c r="BW67" s="69">
        <f t="shared" ca="1" si="58"/>
        <v>0</v>
      </c>
      <c r="BX67" s="69">
        <f t="shared" ca="1" si="58"/>
        <v>0</v>
      </c>
      <c r="BY67" s="69">
        <f t="shared" ca="1" si="58"/>
        <v>0</v>
      </c>
      <c r="BZ67" s="69">
        <f t="shared" ca="1" si="58"/>
        <v>0</v>
      </c>
      <c r="CA67" s="69">
        <f t="shared" ca="1" si="58"/>
        <v>0</v>
      </c>
      <c r="CB67" s="69">
        <f t="shared" ca="1" si="58"/>
        <v>0</v>
      </c>
      <c r="CC67" s="69">
        <f t="shared" ca="1" si="58"/>
        <v>0</v>
      </c>
      <c r="CD67" s="69">
        <f t="shared" ca="1" si="58"/>
        <v>0</v>
      </c>
      <c r="CE67" s="69">
        <f t="shared" ca="1" si="58"/>
        <v>0</v>
      </c>
      <c r="CF67" s="69">
        <f t="shared" ca="1" si="58"/>
        <v>0</v>
      </c>
      <c r="CG67" s="69">
        <f t="shared" ca="1" si="58"/>
        <v>0</v>
      </c>
      <c r="CH67" s="69">
        <f t="shared" ca="1" si="58"/>
        <v>0</v>
      </c>
      <c r="CI67" s="69">
        <f t="shared" ca="1" si="58"/>
        <v>0</v>
      </c>
      <c r="CJ67" s="69">
        <f t="shared" ca="1" si="58"/>
        <v>0</v>
      </c>
      <c r="CK67" s="69">
        <f t="shared" ca="1" si="58"/>
        <v>0</v>
      </c>
      <c r="CL67" s="69">
        <f t="shared" ca="1" si="58"/>
        <v>0</v>
      </c>
      <c r="CM67" s="69">
        <f t="shared" ca="1" si="58"/>
        <v>0</v>
      </c>
      <c r="CN67" s="69">
        <f t="shared" ca="1" si="58"/>
        <v>0</v>
      </c>
      <c r="CO67" s="69">
        <f t="shared" ca="1" si="58"/>
        <v>0</v>
      </c>
      <c r="CP67" s="69">
        <f t="shared" ca="1" si="58"/>
        <v>0</v>
      </c>
      <c r="CQ67" s="69">
        <f t="shared" ca="1" si="58"/>
        <v>0</v>
      </c>
      <c r="CR67" s="69">
        <f t="shared" ca="1" si="58"/>
        <v>0</v>
      </c>
      <c r="CS67" s="69">
        <f t="shared" ca="1" si="58"/>
        <v>0</v>
      </c>
      <c r="CT67" s="69">
        <f t="shared" ca="1" si="58"/>
        <v>0</v>
      </c>
      <c r="CU67" s="69">
        <f t="shared" ca="1" si="58"/>
        <v>0</v>
      </c>
      <c r="CV67" s="69">
        <f t="shared" ref="CV67:EA67" ca="1" si="59">-CV96-CV109</f>
        <v>0</v>
      </c>
      <c r="CW67" s="69">
        <f t="shared" ca="1" si="59"/>
        <v>0</v>
      </c>
      <c r="CX67" s="69">
        <f t="shared" ca="1" si="59"/>
        <v>0</v>
      </c>
      <c r="CY67" s="69">
        <f t="shared" ca="1" si="59"/>
        <v>0</v>
      </c>
      <c r="CZ67" s="69">
        <f t="shared" ca="1" si="59"/>
        <v>0</v>
      </c>
      <c r="DA67" s="69">
        <f t="shared" ca="1" si="59"/>
        <v>0</v>
      </c>
      <c r="DB67" s="69">
        <f t="shared" ca="1" si="59"/>
        <v>0</v>
      </c>
      <c r="DC67" s="69">
        <f t="shared" ca="1" si="59"/>
        <v>0</v>
      </c>
      <c r="DD67" s="69">
        <f t="shared" ca="1" si="59"/>
        <v>0</v>
      </c>
      <c r="DE67" s="69">
        <f t="shared" ca="1" si="59"/>
        <v>0</v>
      </c>
      <c r="DF67" s="69">
        <f t="shared" ca="1" si="59"/>
        <v>0</v>
      </c>
      <c r="DG67" s="69">
        <f t="shared" ca="1" si="59"/>
        <v>0</v>
      </c>
      <c r="DH67" s="69">
        <f t="shared" ca="1" si="59"/>
        <v>0</v>
      </c>
      <c r="DI67" s="69">
        <f t="shared" ca="1" si="59"/>
        <v>0</v>
      </c>
      <c r="DJ67" s="69">
        <f t="shared" ca="1" si="59"/>
        <v>0</v>
      </c>
      <c r="DK67" s="69">
        <f t="shared" ca="1" si="59"/>
        <v>0</v>
      </c>
      <c r="DL67" s="69">
        <f t="shared" ca="1" si="59"/>
        <v>0</v>
      </c>
      <c r="DM67" s="69">
        <f t="shared" ca="1" si="59"/>
        <v>0</v>
      </c>
      <c r="DN67" s="69">
        <f t="shared" ca="1" si="59"/>
        <v>0</v>
      </c>
      <c r="DO67" s="69">
        <f t="shared" ca="1" si="59"/>
        <v>0</v>
      </c>
      <c r="DP67" s="69">
        <f t="shared" ca="1" si="59"/>
        <v>0</v>
      </c>
      <c r="DQ67" s="69">
        <f t="shared" ca="1" si="59"/>
        <v>0</v>
      </c>
      <c r="DR67" s="69">
        <f t="shared" ca="1" si="59"/>
        <v>0</v>
      </c>
      <c r="DS67" s="69">
        <f t="shared" ca="1" si="59"/>
        <v>0</v>
      </c>
      <c r="DT67" s="69">
        <f t="shared" ca="1" si="59"/>
        <v>0</v>
      </c>
      <c r="DU67" s="69">
        <f t="shared" ca="1" si="59"/>
        <v>0</v>
      </c>
      <c r="DV67" s="69">
        <f t="shared" ca="1" si="59"/>
        <v>0</v>
      </c>
      <c r="DW67" s="69">
        <f t="shared" ca="1" si="59"/>
        <v>0</v>
      </c>
      <c r="DX67" s="69">
        <f t="shared" ca="1" si="59"/>
        <v>0</v>
      </c>
      <c r="DY67" s="69">
        <f t="shared" ca="1" si="59"/>
        <v>0</v>
      </c>
      <c r="DZ67" s="69">
        <f t="shared" ca="1" si="59"/>
        <v>0</v>
      </c>
      <c r="EA67" s="69">
        <f t="shared" ca="1" si="59"/>
        <v>0</v>
      </c>
      <c r="EB67" s="69">
        <f t="shared" ref="EB67:EL67" ca="1" si="60">-EB96-EB109</f>
        <v>0</v>
      </c>
      <c r="EC67" s="69">
        <f t="shared" ca="1" si="60"/>
        <v>0</v>
      </c>
      <c r="ED67" s="69">
        <f t="shared" ca="1" si="60"/>
        <v>0</v>
      </c>
      <c r="EE67" s="69">
        <f t="shared" ca="1" si="60"/>
        <v>0</v>
      </c>
      <c r="EF67" s="69">
        <f t="shared" ca="1" si="60"/>
        <v>0</v>
      </c>
      <c r="EG67" s="69">
        <f t="shared" ca="1" si="60"/>
        <v>0</v>
      </c>
      <c r="EH67" s="69">
        <f t="shared" ca="1" si="60"/>
        <v>0</v>
      </c>
      <c r="EI67" s="69">
        <f t="shared" ca="1" si="60"/>
        <v>0</v>
      </c>
      <c r="EJ67" s="69">
        <f t="shared" ca="1" si="60"/>
        <v>0</v>
      </c>
      <c r="EK67" s="69">
        <f t="shared" ca="1" si="60"/>
        <v>0</v>
      </c>
      <c r="EL67" s="69">
        <f t="shared" ca="1" si="60"/>
        <v>0</v>
      </c>
    </row>
    <row r="68" spans="2:142" s="68" customFormat="1">
      <c r="B68" s="51" t="s">
        <v>47</v>
      </c>
      <c r="C68" s="70">
        <f>0</f>
        <v>0</v>
      </c>
      <c r="D68" s="69">
        <f t="shared" ref="D68:AI68" ca="1" si="61">-D97-D110</f>
        <v>0.97260900134703443</v>
      </c>
      <c r="E68" s="69">
        <f t="shared" ca="1" si="61"/>
        <v>1.3160733366467925</v>
      </c>
      <c r="F68" s="69">
        <f t="shared" ca="1" si="61"/>
        <v>1.6068424509587009</v>
      </c>
      <c r="G68" s="69">
        <f t="shared" ca="1" si="61"/>
        <v>1.8511894361109837</v>
      </c>
      <c r="H68" s="69">
        <f t="shared" ca="1" si="61"/>
        <v>2.0524556987668467</v>
      </c>
      <c r="I68" s="69">
        <f t="shared" ca="1" si="61"/>
        <v>2.1923223309825977</v>
      </c>
      <c r="J68" s="69">
        <f t="shared" ca="1" si="61"/>
        <v>2.4407972590230322</v>
      </c>
      <c r="K68" s="69">
        <f t="shared" ca="1" si="61"/>
        <v>8.9079667372539451</v>
      </c>
      <c r="L68" s="69">
        <f t="shared" ca="1" si="61"/>
        <v>1.8055503644655482</v>
      </c>
      <c r="M68" s="69">
        <f t="shared" ca="1" si="61"/>
        <v>3.1731806285828359</v>
      </c>
      <c r="N68" s="69">
        <f t="shared" ca="1" si="61"/>
        <v>4.6240306622596421</v>
      </c>
      <c r="O68" s="69">
        <f t="shared" ca="1" si="61"/>
        <v>6.4193310021701739</v>
      </c>
      <c r="P68" s="69">
        <f t="shared" ca="1" si="61"/>
        <v>8.7797132330623757</v>
      </c>
      <c r="Q68" s="69">
        <f t="shared" ca="1" si="61"/>
        <v>7.1152321323731726</v>
      </c>
      <c r="R68" s="69">
        <f t="shared" ca="1" si="61"/>
        <v>6.0117134397300749</v>
      </c>
      <c r="S68" s="69">
        <f t="shared" ca="1" si="61"/>
        <v>8.3332651478911188</v>
      </c>
      <c r="T68" s="69">
        <f t="shared" ca="1" si="61"/>
        <v>10.010104995475333</v>
      </c>
      <c r="U68" s="69">
        <f t="shared" ca="1" si="61"/>
        <v>10.378793374668932</v>
      </c>
      <c r="V68" s="69">
        <f t="shared" ca="1" si="61"/>
        <v>10.756256004450121</v>
      </c>
      <c r="W68" s="69">
        <f t="shared" ca="1" si="61"/>
        <v>11.169491332424485</v>
      </c>
      <c r="X68" s="69">
        <f t="shared" ca="1" si="61"/>
        <v>11.876239234980892</v>
      </c>
      <c r="Y68" s="69">
        <f t="shared" ca="1" si="61"/>
        <v>12.617188846353724</v>
      </c>
      <c r="Z68" s="69">
        <f t="shared" ca="1" si="61"/>
        <v>13.397420420407473</v>
      </c>
      <c r="AA68" s="69">
        <f t="shared" ca="1" si="61"/>
        <v>14.220873962544317</v>
      </c>
      <c r="AB68" s="69">
        <f t="shared" ca="1" si="61"/>
        <v>15.166792368372718</v>
      </c>
      <c r="AC68" s="69">
        <f t="shared" ca="1" si="61"/>
        <v>16.193577701668627</v>
      </c>
      <c r="AD68" s="69">
        <f t="shared" ca="1" si="61"/>
        <v>17.075358223971946</v>
      </c>
      <c r="AE68" s="69">
        <f t="shared" ca="1" si="61"/>
        <v>18.087674044129443</v>
      </c>
      <c r="AF68" s="69">
        <f t="shared" ca="1" si="61"/>
        <v>19.228668523718611</v>
      </c>
      <c r="AG68" s="69">
        <f t="shared" ca="1" si="61"/>
        <v>20.024518913092223</v>
      </c>
      <c r="AH68" s="69">
        <f t="shared" ca="1" si="61"/>
        <v>21.086981407127467</v>
      </c>
      <c r="AI68" s="69">
        <f t="shared" ca="1" si="61"/>
        <v>22.188432069266916</v>
      </c>
      <c r="AJ68" s="69">
        <f t="shared" ref="AJ68:BO68" ca="1" si="62">-AJ97-AJ110</f>
        <v>23.398265651080251</v>
      </c>
      <c r="AK68" s="69">
        <f t="shared" ca="1" si="62"/>
        <v>24.71324132905135</v>
      </c>
      <c r="AL68" s="69">
        <f t="shared" ca="1" si="62"/>
        <v>25.61979660238439</v>
      </c>
      <c r="AM68" s="69">
        <f t="shared" ca="1" si="62"/>
        <v>26.586892474998521</v>
      </c>
      <c r="AN68" s="69">
        <f t="shared" ca="1" si="62"/>
        <v>27.616993014522798</v>
      </c>
      <c r="AO68" s="69">
        <f t="shared" ca="1" si="62"/>
        <v>28.711740736257894</v>
      </c>
      <c r="AP68" s="69">
        <f t="shared" ca="1" si="62"/>
        <v>29.877511551226736</v>
      </c>
      <c r="AQ68" s="69">
        <f t="shared" ca="1" si="62"/>
        <v>31.116024525095682</v>
      </c>
      <c r="AR68" s="69">
        <f t="shared" ca="1" si="62"/>
        <v>32.432773560281227</v>
      </c>
      <c r="AS68" s="69">
        <f t="shared" ca="1" si="62"/>
        <v>33.829250989695524</v>
      </c>
      <c r="AT68" s="69">
        <f t="shared" ca="1" si="62"/>
        <v>35.311081364485823</v>
      </c>
      <c r="AU68" s="69">
        <f t="shared" ca="1" si="62"/>
        <v>36.878594505514997</v>
      </c>
      <c r="AV68" s="69">
        <f t="shared" ca="1" si="62"/>
        <v>38.534908872255514</v>
      </c>
      <c r="AW68" s="69">
        <f t="shared" ca="1" si="62"/>
        <v>40.296832711526839</v>
      </c>
      <c r="AX68" s="69">
        <f t="shared" ca="1" si="62"/>
        <v>42.171612450860579</v>
      </c>
      <c r="AY68" s="69">
        <f t="shared" ca="1" si="62"/>
        <v>44.169060463862451</v>
      </c>
      <c r="AZ68" s="69">
        <f t="shared" ca="1" si="62"/>
        <v>46.294589911731009</v>
      </c>
      <c r="BA68" s="69">
        <f t="shared" ca="1" si="62"/>
        <v>48.557168139998183</v>
      </c>
      <c r="BB68" s="69">
        <f t="shared" ca="1" si="62"/>
        <v>50.973932614681459</v>
      </c>
      <c r="BC68" s="69">
        <f t="shared" ca="1" si="62"/>
        <v>53.555987899745801</v>
      </c>
      <c r="BD68" s="69">
        <f t="shared" ca="1" si="62"/>
        <v>56.31205195652565</v>
      </c>
      <c r="BE68" s="69">
        <f t="shared" ca="1" si="62"/>
        <v>59.231951761002541</v>
      </c>
      <c r="BF68" s="69">
        <f t="shared" ca="1" si="62"/>
        <v>62.318635574046809</v>
      </c>
      <c r="BG68" s="69">
        <f t="shared" ca="1" si="62"/>
        <v>65.557280156514992</v>
      </c>
      <c r="BH68" s="69">
        <f t="shared" ca="1" si="62"/>
        <v>68.96364813128632</v>
      </c>
      <c r="BI68" s="69">
        <f t="shared" ca="1" si="62"/>
        <v>72.539779327871031</v>
      </c>
      <c r="BJ68" s="69">
        <f t="shared" ca="1" si="62"/>
        <v>76.268224205221998</v>
      </c>
      <c r="BK68" s="69">
        <f t="shared" ca="1" si="62"/>
        <v>80.150876476122988</v>
      </c>
      <c r="BL68" s="69">
        <f t="shared" ca="1" si="62"/>
        <v>84.163525293810878</v>
      </c>
      <c r="BM68" s="69">
        <f t="shared" ca="1" si="62"/>
        <v>88.329460461140172</v>
      </c>
      <c r="BN68" s="69">
        <f t="shared" ca="1" si="62"/>
        <v>92.617822160141245</v>
      </c>
      <c r="BO68" s="69">
        <f t="shared" ca="1" si="62"/>
        <v>97.019226078337482</v>
      </c>
      <c r="BP68" s="69">
        <f t="shared" ref="BP68:CU68" ca="1" si="63">-BP97-BP110</f>
        <v>101.49234960675632</v>
      </c>
      <c r="BQ68" s="69">
        <f t="shared" ca="1" si="63"/>
        <v>106.04026882242412</v>
      </c>
      <c r="BR68" s="69">
        <f t="shared" ca="1" si="63"/>
        <v>110.72971219165495</v>
      </c>
      <c r="BS68" s="69">
        <f t="shared" ca="1" si="63"/>
        <v>115.67916016105694</v>
      </c>
      <c r="BT68" s="69">
        <f t="shared" ca="1" si="63"/>
        <v>120.86227272658527</v>
      </c>
      <c r="BU68" s="69">
        <f t="shared" ca="1" si="63"/>
        <v>126.12936232599668</v>
      </c>
      <c r="BV68" s="69">
        <f t="shared" ca="1" si="63"/>
        <v>131.36603666631515</v>
      </c>
      <c r="BW68" s="69">
        <f t="shared" ca="1" si="63"/>
        <v>136.66530135548055</v>
      </c>
      <c r="BX68" s="69">
        <f t="shared" ca="1" si="63"/>
        <v>141.91404752062499</v>
      </c>
      <c r="BY68" s="69">
        <f t="shared" ca="1" si="63"/>
        <v>147.38720547077975</v>
      </c>
      <c r="BZ68" s="69">
        <f t="shared" ca="1" si="63"/>
        <v>152.84001860153461</v>
      </c>
      <c r="CA68" s="69">
        <f t="shared" ca="1" si="63"/>
        <v>157.93748588320361</v>
      </c>
      <c r="CB68" s="69">
        <f t="shared" ca="1" si="63"/>
        <v>162.84679527855545</v>
      </c>
      <c r="CC68" s="69">
        <f t="shared" ca="1" si="63"/>
        <v>167.03805634245845</v>
      </c>
      <c r="CD68" s="69">
        <f t="shared" ca="1" si="63"/>
        <v>171.17177050084177</v>
      </c>
      <c r="CE68" s="69">
        <f t="shared" ca="1" si="63"/>
        <v>175.34024027450926</v>
      </c>
      <c r="CF68" s="69">
        <f t="shared" ca="1" si="63"/>
        <v>180.39277540547954</v>
      </c>
      <c r="CG68" s="69">
        <f t="shared" ca="1" si="63"/>
        <v>185.78272801129754</v>
      </c>
      <c r="CH68" s="69">
        <f t="shared" ca="1" si="63"/>
        <v>189.78378159986892</v>
      </c>
      <c r="CI68" s="69">
        <f t="shared" ca="1" si="63"/>
        <v>194.87439906167117</v>
      </c>
      <c r="CJ68" s="69">
        <f t="shared" ca="1" si="63"/>
        <v>200.96860046275302</v>
      </c>
      <c r="CK68" s="69">
        <f t="shared" ca="1" si="63"/>
        <v>207.45392043709978</v>
      </c>
      <c r="CL68" s="69">
        <f t="shared" ca="1" si="63"/>
        <v>215.15308458688844</v>
      </c>
      <c r="CM68" s="69">
        <f t="shared" ca="1" si="63"/>
        <v>223.52633128516555</v>
      </c>
      <c r="CN68" s="69">
        <f t="shared" ca="1" si="63"/>
        <v>232.65380547565169</v>
      </c>
      <c r="CO68" s="69">
        <f t="shared" ca="1" si="63"/>
        <v>242.2990397601364</v>
      </c>
      <c r="CP68" s="69">
        <f t="shared" ca="1" si="63"/>
        <v>252.83278328803419</v>
      </c>
      <c r="CQ68" s="69">
        <f t="shared" ca="1" si="63"/>
        <v>263.87295577098945</v>
      </c>
      <c r="CR68" s="69">
        <f t="shared" ca="1" si="63"/>
        <v>276.47707907109941</v>
      </c>
      <c r="CS68" s="69">
        <f t="shared" ca="1" si="63"/>
        <v>290.14085994537828</v>
      </c>
      <c r="CT68" s="69">
        <f t="shared" ca="1" si="63"/>
        <v>305.76430976522124</v>
      </c>
      <c r="CU68" s="69">
        <f t="shared" ca="1" si="63"/>
        <v>321.93793058668007</v>
      </c>
      <c r="CV68" s="69">
        <f t="shared" ref="CV68:EA68" ca="1" si="64">-CV97-CV110</f>
        <v>341.0440072307149</v>
      </c>
      <c r="CW68" s="69">
        <f t="shared" ca="1" si="64"/>
        <v>362.61587182686878</v>
      </c>
      <c r="CX68" s="69">
        <f t="shared" ca="1" si="64"/>
        <v>389.48400918993929</v>
      </c>
      <c r="CY68" s="69">
        <f t="shared" ca="1" si="64"/>
        <v>420.45076712171897</v>
      </c>
      <c r="CZ68" s="69">
        <f t="shared" ca="1" si="64"/>
        <v>455.84967613192617</v>
      </c>
      <c r="DA68" s="69">
        <f t="shared" ca="1" si="64"/>
        <v>31.924253379453297</v>
      </c>
      <c r="DB68" s="69">
        <f t="shared" ca="1" si="64"/>
        <v>29.525294956223007</v>
      </c>
      <c r="DC68" s="69">
        <f t="shared" ca="1" si="64"/>
        <v>27.880427522859627</v>
      </c>
      <c r="DD68" s="69">
        <f t="shared" ca="1" si="64"/>
        <v>26.573201178398165</v>
      </c>
      <c r="DE68" s="69">
        <f t="shared" ca="1" si="64"/>
        <v>25.749444134219832</v>
      </c>
      <c r="DF68" s="69">
        <f t="shared" ca="1" si="64"/>
        <v>24.787220006714598</v>
      </c>
      <c r="DG68" s="69">
        <f t="shared" ca="1" si="64"/>
        <v>24.239289500115465</v>
      </c>
      <c r="DH68" s="69">
        <f t="shared" ca="1" si="64"/>
        <v>22.52730522566247</v>
      </c>
      <c r="DI68" s="69">
        <f t="shared" ca="1" si="64"/>
        <v>20.248317349980645</v>
      </c>
      <c r="DJ68" s="69">
        <f t="shared" ca="1" si="64"/>
        <v>18.150951973064466</v>
      </c>
      <c r="DK68" s="69">
        <f t="shared" ca="1" si="64"/>
        <v>16.923713869134716</v>
      </c>
      <c r="DL68" s="69">
        <f t="shared" ca="1" si="64"/>
        <v>14.110181735009855</v>
      </c>
      <c r="DM68" s="69">
        <f t="shared" ca="1" si="64"/>
        <v>12.024198637817738</v>
      </c>
      <c r="DN68" s="69">
        <f t="shared" ca="1" si="64"/>
        <v>11.539242737823903</v>
      </c>
      <c r="DO68" s="69">
        <f t="shared" ca="1" si="64"/>
        <v>11.381345845943665</v>
      </c>
      <c r="DP68" s="69">
        <f t="shared" ca="1" si="64"/>
        <v>11.42432348216569</v>
      </c>
      <c r="DQ68" s="69">
        <f t="shared" ca="1" si="64"/>
        <v>11.344784295095243</v>
      </c>
      <c r="DR68" s="69">
        <f t="shared" ca="1" si="64"/>
        <v>11.318491878947647</v>
      </c>
      <c r="DS68" s="69">
        <f t="shared" ca="1" si="64"/>
        <v>11.502440733017318</v>
      </c>
      <c r="DT68" s="69">
        <f t="shared" ca="1" si="64"/>
        <v>11.325237755341533</v>
      </c>
      <c r="DU68" s="69">
        <f t="shared" ca="1" si="64"/>
        <v>10.963730931171273</v>
      </c>
      <c r="DV68" s="69">
        <f t="shared" ca="1" si="64"/>
        <v>10.592092465053991</v>
      </c>
      <c r="DW68" s="69">
        <f t="shared" ca="1" si="64"/>
        <v>10.333331885683577</v>
      </c>
      <c r="DX68" s="69">
        <f t="shared" ca="1" si="64"/>
        <v>10.376161473509612</v>
      </c>
      <c r="DY68" s="69">
        <f t="shared" ca="1" si="64"/>
        <v>9.9782633403166017</v>
      </c>
      <c r="DZ68" s="69">
        <f t="shared" ca="1" si="64"/>
        <v>9.8053199156824533</v>
      </c>
      <c r="EA68" s="69">
        <f t="shared" ca="1" si="64"/>
        <v>9.574177779830416</v>
      </c>
      <c r="EB68" s="69">
        <f t="shared" ref="EB68:EL68" ca="1" si="65">-EB97-EB110</f>
        <v>8.1661888403965719</v>
      </c>
      <c r="EC68" s="69">
        <f t="shared" ca="1" si="65"/>
        <v>6.8625064067951937</v>
      </c>
      <c r="ED68" s="69">
        <f t="shared" ca="1" si="65"/>
        <v>6.4796277695787694</v>
      </c>
      <c r="EE68" s="69">
        <f t="shared" ca="1" si="65"/>
        <v>5.772810422983599</v>
      </c>
      <c r="EF68" s="69">
        <f t="shared" ca="1" si="65"/>
        <v>4.689994312108837</v>
      </c>
      <c r="EG68" s="69">
        <f t="shared" ca="1" si="65"/>
        <v>3.7699146805242871</v>
      </c>
      <c r="EH68" s="69">
        <f t="shared" ca="1" si="65"/>
        <v>3.1801326854978536</v>
      </c>
      <c r="EI68" s="69">
        <f t="shared" ca="1" si="65"/>
        <v>2.1064249240019821</v>
      </c>
      <c r="EJ68" s="69">
        <f t="shared" ca="1" si="65"/>
        <v>0.6990855597656912</v>
      </c>
      <c r="EK68" s="69">
        <f t="shared" ca="1" si="65"/>
        <v>0.13927276267906194</v>
      </c>
      <c r="EL68" s="69">
        <f t="shared" ca="1" si="65"/>
        <v>0</v>
      </c>
    </row>
    <row r="69" spans="2:142" s="68" customFormat="1">
      <c r="B69" s="51" t="s">
        <v>46</v>
      </c>
      <c r="C69" s="70">
        <f>0</f>
        <v>0</v>
      </c>
      <c r="D69" s="69">
        <f t="shared" ref="D69:AI69" ca="1" si="66">-D100-D113</f>
        <v>0.97260900134703443</v>
      </c>
      <c r="E69" s="69">
        <f t="shared" ca="1" si="66"/>
        <v>1.3161016390455491</v>
      </c>
      <c r="F69" s="69">
        <f t="shared" ca="1" si="66"/>
        <v>1.6069916552878858</v>
      </c>
      <c r="G69" s="69">
        <f t="shared" ca="1" si="66"/>
        <v>1.8515554512597572</v>
      </c>
      <c r="H69" s="69">
        <f t="shared" ca="1" si="66"/>
        <v>2.0531200957297147</v>
      </c>
      <c r="I69" s="69">
        <f t="shared" ca="1" si="66"/>
        <v>2.1930034595578318</v>
      </c>
      <c r="J69" s="69">
        <f t="shared" ca="1" si="66"/>
        <v>2.4417526815797266</v>
      </c>
      <c r="K69" s="69">
        <f t="shared" ca="1" si="66"/>
        <v>8.9157524041115739</v>
      </c>
      <c r="L69" s="69">
        <f t="shared" ca="1" si="66"/>
        <v>1.8055503644655482</v>
      </c>
      <c r="M69" s="69">
        <f t="shared" ca="1" si="66"/>
        <v>3.1740299891775505</v>
      </c>
      <c r="N69" s="69">
        <f t="shared" ca="1" si="66"/>
        <v>4.6243213127406486</v>
      </c>
      <c r="O69" s="69">
        <f t="shared" ca="1" si="66"/>
        <v>6.4185272508442219</v>
      </c>
      <c r="P69" s="69">
        <f t="shared" ca="1" si="66"/>
        <v>8.7761513705267369</v>
      </c>
      <c r="Q69" s="69">
        <f t="shared" ca="1" si="66"/>
        <v>7.1102183258105631</v>
      </c>
      <c r="R69" s="69">
        <f t="shared" ca="1" si="66"/>
        <v>6.0060324561194847</v>
      </c>
      <c r="S69" s="69">
        <f t="shared" ca="1" si="66"/>
        <v>8.3252772554482704</v>
      </c>
      <c r="T69" s="69">
        <f t="shared" ca="1" si="66"/>
        <v>9.9992373189718506</v>
      </c>
      <c r="U69" s="69">
        <f t="shared" ca="1" si="66"/>
        <v>10.364808784410016</v>
      </c>
      <c r="V69" s="69">
        <f t="shared" ca="1" si="66"/>
        <v>10.739039640263861</v>
      </c>
      <c r="W69" s="69">
        <f t="shared" ca="1" si="66"/>
        <v>11.148976325200032</v>
      </c>
      <c r="X69" s="69">
        <f t="shared" ca="1" si="66"/>
        <v>11.850866978497232</v>
      </c>
      <c r="Y69" s="69">
        <f t="shared" ca="1" si="66"/>
        <v>12.586522101459259</v>
      </c>
      <c r="Z69" s="69">
        <f t="shared" ca="1" si="66"/>
        <v>13.361299940968927</v>
      </c>
      <c r="AA69" s="69">
        <f t="shared" ca="1" si="66"/>
        <v>14.179252405576918</v>
      </c>
      <c r="AB69" s="69">
        <f t="shared" ca="1" si="66"/>
        <v>15.122813389366858</v>
      </c>
      <c r="AC69" s="69">
        <f t="shared" ca="1" si="66"/>
        <v>16.145146419305995</v>
      </c>
      <c r="AD69" s="69">
        <f t="shared" ca="1" si="66"/>
        <v>17.021790015748209</v>
      </c>
      <c r="AE69" s="69">
        <f t="shared" ca="1" si="66"/>
        <v>18.028095406866232</v>
      </c>
      <c r="AF69" s="69">
        <f t="shared" ca="1" si="66"/>
        <v>19.162210842963098</v>
      </c>
      <c r="AG69" s="69">
        <f t="shared" ca="1" si="66"/>
        <v>19.955082646797631</v>
      </c>
      <c r="AH69" s="69">
        <f t="shared" ca="1" si="66"/>
        <v>21.012078914577458</v>
      </c>
      <c r="AI69" s="69">
        <f t="shared" ca="1" si="66"/>
        <v>22.106619514287267</v>
      </c>
      <c r="AJ69" s="69">
        <f t="shared" ref="AJ69:BO69" ca="1" si="67">-AJ100-AJ113</f>
        <v>23.308628081511927</v>
      </c>
      <c r="AK69" s="69">
        <f t="shared" ca="1" si="67"/>
        <v>24.614855629748845</v>
      </c>
      <c r="AL69" s="69">
        <f t="shared" ca="1" si="67"/>
        <v>25.515616903079856</v>
      </c>
      <c r="AM69" s="69">
        <f t="shared" ca="1" si="67"/>
        <v>26.476423027260005</v>
      </c>
      <c r="AN69" s="69">
        <f t="shared" ca="1" si="67"/>
        <v>27.499700245686654</v>
      </c>
      <c r="AO69" s="69">
        <f t="shared" ca="1" si="67"/>
        <v>28.58697259990717</v>
      </c>
      <c r="AP69" s="69">
        <f t="shared" ca="1" si="67"/>
        <v>29.744695596492924</v>
      </c>
      <c r="AQ69" s="69">
        <f t="shared" ca="1" si="67"/>
        <v>30.97458641385569</v>
      </c>
      <c r="AR69" s="69">
        <f t="shared" ca="1" si="67"/>
        <v>32.282081823071891</v>
      </c>
      <c r="AS69" s="69">
        <f t="shared" ca="1" si="67"/>
        <v>33.668700039117716</v>
      </c>
      <c r="AT69" s="69">
        <f t="shared" ca="1" si="67"/>
        <v>35.14001710596699</v>
      </c>
      <c r="AU69" s="69">
        <f t="shared" ca="1" si="67"/>
        <v>36.696411711908247</v>
      </c>
      <c r="AV69" s="69">
        <f t="shared" ca="1" si="67"/>
        <v>38.341010255197602</v>
      </c>
      <c r="AW69" s="69">
        <f t="shared" ca="1" si="67"/>
        <v>40.090549943206376</v>
      </c>
      <c r="AX69" s="69">
        <f t="shared" ca="1" si="67"/>
        <v>41.952238421435531</v>
      </c>
      <c r="AY69" s="69">
        <f t="shared" ca="1" si="67"/>
        <v>43.935832484362649</v>
      </c>
      <c r="AZ69" s="69">
        <f t="shared" ca="1" si="67"/>
        <v>46.046769921334374</v>
      </c>
      <c r="BA69" s="69">
        <f t="shared" ca="1" si="67"/>
        <v>48.293604671144067</v>
      </c>
      <c r="BB69" s="69">
        <f t="shared" ca="1" si="67"/>
        <v>50.693754785674933</v>
      </c>
      <c r="BC69" s="69">
        <f t="shared" ca="1" si="67"/>
        <v>53.25828327003731</v>
      </c>
      <c r="BD69" s="69">
        <f t="shared" ca="1" si="67"/>
        <v>55.995903053645762</v>
      </c>
      <c r="BE69" s="69">
        <f t="shared" ca="1" si="67"/>
        <v>58.896594355999206</v>
      </c>
      <c r="BF69" s="69">
        <f t="shared" ca="1" si="67"/>
        <v>61.963305945803739</v>
      </c>
      <c r="BG69" s="69">
        <f t="shared" ca="1" si="67"/>
        <v>65.181390813399588</v>
      </c>
      <c r="BH69" s="69">
        <f t="shared" ca="1" si="67"/>
        <v>68.566721083152245</v>
      </c>
      <c r="BI69" s="69">
        <f t="shared" ca="1" si="67"/>
        <v>72.121271819394451</v>
      </c>
      <c r="BJ69" s="69">
        <f t="shared" ca="1" si="67"/>
        <v>75.827798178943127</v>
      </c>
      <c r="BK69" s="69">
        <f t="shared" ca="1" si="67"/>
        <v>79.688375899390422</v>
      </c>
      <c r="BL69" s="69">
        <f t="shared" ca="1" si="67"/>
        <v>83.679016573250266</v>
      </c>
      <c r="BM69" s="69">
        <f t="shared" ca="1" si="67"/>
        <v>87.822902813191988</v>
      </c>
      <c r="BN69" s="69">
        <f t="shared" ca="1" si="67"/>
        <v>92.08931364984889</v>
      </c>
      <c r="BO69" s="69">
        <f t="shared" ca="1" si="67"/>
        <v>96.468817946418142</v>
      </c>
      <c r="BP69" s="69">
        <f t="shared" ref="BP69:CU69" ca="1" si="68">-BP100-BP113</f>
        <v>100.91972939414342</v>
      </c>
      <c r="BQ69" s="69">
        <f t="shared" ca="1" si="68"/>
        <v>105.44549995149865</v>
      </c>
      <c r="BR69" s="69">
        <f t="shared" ca="1" si="68"/>
        <v>110.1126299972514</v>
      </c>
      <c r="BS69" s="69">
        <f t="shared" ca="1" si="68"/>
        <v>115.03961446740516</v>
      </c>
      <c r="BT69" s="69">
        <f t="shared" ca="1" si="68"/>
        <v>120.19982109172025</v>
      </c>
      <c r="BU69" s="69">
        <f t="shared" ca="1" si="68"/>
        <v>125.44336890273533</v>
      </c>
      <c r="BV69" s="69">
        <f t="shared" ca="1" si="68"/>
        <v>130.65577379384808</v>
      </c>
      <c r="BW69" s="69">
        <f t="shared" ca="1" si="68"/>
        <v>135.92952169365219</v>
      </c>
      <c r="BX69" s="69">
        <f t="shared" ca="1" si="68"/>
        <v>141.15182702497293</v>
      </c>
      <c r="BY69" s="69">
        <f t="shared" ca="1" si="68"/>
        <v>146.59772993824436</v>
      </c>
      <c r="BZ69" s="69">
        <f t="shared" ca="1" si="68"/>
        <v>152.02305072270235</v>
      </c>
      <c r="CA69" s="69">
        <f t="shared" ca="1" si="68"/>
        <v>157.09403785217307</v>
      </c>
      <c r="CB69" s="69">
        <f t="shared" ca="1" si="68"/>
        <v>161.97792030340966</v>
      </c>
      <c r="CC69" s="69">
        <f t="shared" ca="1" si="68"/>
        <v>166.14508268509641</v>
      </c>
      <c r="CD69" s="69">
        <f t="shared" ca="1" si="68"/>
        <v>170.25572232527844</v>
      </c>
      <c r="CE69" s="69">
        <f t="shared" ca="1" si="68"/>
        <v>174.40100363779149</v>
      </c>
      <c r="CF69" s="69">
        <f t="shared" ca="1" si="68"/>
        <v>179.42971192669734</v>
      </c>
      <c r="CG69" s="69">
        <f t="shared" ca="1" si="68"/>
        <v>184.79436549998218</v>
      </c>
      <c r="CH69" s="69">
        <f t="shared" ca="1" si="68"/>
        <v>188.76762910697852</v>
      </c>
      <c r="CI69" s="69">
        <f t="shared" ca="1" si="68"/>
        <v>193.8266063256431</v>
      </c>
      <c r="CJ69" s="69">
        <f t="shared" ca="1" si="68"/>
        <v>199.88486586650541</v>
      </c>
      <c r="CK69" s="69">
        <f t="shared" ca="1" si="68"/>
        <v>206.32966228966609</v>
      </c>
      <c r="CL69" s="69">
        <f t="shared" ca="1" si="68"/>
        <v>213.98395510628379</v>
      </c>
      <c r="CM69" s="69">
        <f t="shared" ca="1" si="68"/>
        <v>222.30753895573326</v>
      </c>
      <c r="CN69" s="69">
        <f t="shared" ca="1" si="68"/>
        <v>231.380801491342</v>
      </c>
      <c r="CO69" s="69">
        <f t="shared" ca="1" si="68"/>
        <v>240.96692601912918</v>
      </c>
      <c r="CP69" s="69">
        <f t="shared" ca="1" si="68"/>
        <v>251.43741832560679</v>
      </c>
      <c r="CQ69" s="69">
        <f t="shared" ca="1" si="68"/>
        <v>262.41154682587199</v>
      </c>
      <c r="CR69" s="69">
        <f t="shared" ca="1" si="68"/>
        <v>274.94515421902162</v>
      </c>
      <c r="CS69" s="69">
        <f t="shared" ca="1" si="68"/>
        <v>288.53119535931808</v>
      </c>
      <c r="CT69" s="69">
        <f t="shared" ca="1" si="68"/>
        <v>304.06950806926164</v>
      </c>
      <c r="CU69" s="69">
        <f t="shared" ca="1" si="68"/>
        <v>320.14809702650643</v>
      </c>
      <c r="CV69" s="69">
        <f t="shared" ref="CV69:EA69" ca="1" si="69">-CV100-CV113</f>
        <v>339.14750330411704</v>
      </c>
      <c r="CW69" s="69">
        <f t="shared" ca="1" si="69"/>
        <v>360.6009946856928</v>
      </c>
      <c r="CX69" s="69">
        <f t="shared" ca="1" si="69"/>
        <v>387.33211184880201</v>
      </c>
      <c r="CY69" s="69">
        <f t="shared" ca="1" si="69"/>
        <v>418.1461409787014</v>
      </c>
      <c r="CZ69" s="69">
        <f t="shared" ca="1" si="69"/>
        <v>453.36994196084021</v>
      </c>
      <c r="DA69" s="69">
        <f t="shared" ca="1" si="69"/>
        <v>31.924253379453297</v>
      </c>
      <c r="DB69" s="69">
        <f t="shared" ca="1" si="69"/>
        <v>29.525294956223007</v>
      </c>
      <c r="DC69" s="69">
        <f t="shared" ca="1" si="69"/>
        <v>27.880427522859627</v>
      </c>
      <c r="DD69" s="69">
        <f t="shared" ca="1" si="69"/>
        <v>26.573201178398165</v>
      </c>
      <c r="DE69" s="69">
        <f t="shared" ca="1" si="69"/>
        <v>25.749444134219832</v>
      </c>
      <c r="DF69" s="69">
        <f t="shared" ca="1" si="69"/>
        <v>24.787220006714598</v>
      </c>
      <c r="DG69" s="69">
        <f t="shared" ca="1" si="69"/>
        <v>24.239289500115465</v>
      </c>
      <c r="DH69" s="69">
        <f t="shared" ca="1" si="69"/>
        <v>22.52730522566247</v>
      </c>
      <c r="DI69" s="69">
        <f t="shared" ca="1" si="69"/>
        <v>20.248317349980645</v>
      </c>
      <c r="DJ69" s="69">
        <f t="shared" ca="1" si="69"/>
        <v>18.150951973064466</v>
      </c>
      <c r="DK69" s="69">
        <f t="shared" ca="1" si="69"/>
        <v>16.923713869134716</v>
      </c>
      <c r="DL69" s="69">
        <f t="shared" ca="1" si="69"/>
        <v>14.110181735009855</v>
      </c>
      <c r="DM69" s="69">
        <f t="shared" ca="1" si="69"/>
        <v>12.024198637817738</v>
      </c>
      <c r="DN69" s="69">
        <f t="shared" ca="1" si="69"/>
        <v>11.539242737823903</v>
      </c>
      <c r="DO69" s="69">
        <f t="shared" ca="1" si="69"/>
        <v>11.381345845943665</v>
      </c>
      <c r="DP69" s="69">
        <f t="shared" ca="1" si="69"/>
        <v>11.42432348216569</v>
      </c>
      <c r="DQ69" s="69">
        <f t="shared" ca="1" si="69"/>
        <v>11.344784295095243</v>
      </c>
      <c r="DR69" s="69">
        <f t="shared" ca="1" si="69"/>
        <v>11.318491878947647</v>
      </c>
      <c r="DS69" s="69">
        <f t="shared" ca="1" si="69"/>
        <v>11.502440733017318</v>
      </c>
      <c r="DT69" s="69">
        <f t="shared" ca="1" si="69"/>
        <v>11.325237755341533</v>
      </c>
      <c r="DU69" s="69">
        <f t="shared" ca="1" si="69"/>
        <v>10.963730931171273</v>
      </c>
      <c r="DV69" s="69">
        <f t="shared" ca="1" si="69"/>
        <v>10.592092465053991</v>
      </c>
      <c r="DW69" s="69">
        <f t="shared" ca="1" si="69"/>
        <v>10.333331885683577</v>
      </c>
      <c r="DX69" s="69">
        <f t="shared" ca="1" si="69"/>
        <v>10.376161473509612</v>
      </c>
      <c r="DY69" s="69">
        <f t="shared" ca="1" si="69"/>
        <v>9.9782633403166017</v>
      </c>
      <c r="DZ69" s="69">
        <f t="shared" ca="1" si="69"/>
        <v>9.8053199156824533</v>
      </c>
      <c r="EA69" s="69">
        <f t="shared" ca="1" si="69"/>
        <v>9.574177779830416</v>
      </c>
      <c r="EB69" s="69">
        <f t="shared" ref="EB69:EL69" ca="1" si="70">-EB100-EB113</f>
        <v>8.1661888403965719</v>
      </c>
      <c r="EC69" s="69">
        <f t="shared" ca="1" si="70"/>
        <v>6.8625064067951937</v>
      </c>
      <c r="ED69" s="69">
        <f t="shared" ca="1" si="70"/>
        <v>6.4796277695787694</v>
      </c>
      <c r="EE69" s="69">
        <f t="shared" ca="1" si="70"/>
        <v>5.772810422983599</v>
      </c>
      <c r="EF69" s="69">
        <f t="shared" ca="1" si="70"/>
        <v>4.689994312108837</v>
      </c>
      <c r="EG69" s="69">
        <f t="shared" ca="1" si="70"/>
        <v>3.7699146805242871</v>
      </c>
      <c r="EH69" s="69">
        <f t="shared" ca="1" si="70"/>
        <v>3.1801326854978536</v>
      </c>
      <c r="EI69" s="69">
        <f t="shared" ca="1" si="70"/>
        <v>2.1064249240019821</v>
      </c>
      <c r="EJ69" s="69">
        <f t="shared" ca="1" si="70"/>
        <v>0.6990855597656912</v>
      </c>
      <c r="EK69" s="69">
        <f t="shared" ca="1" si="70"/>
        <v>0.13927276267906194</v>
      </c>
      <c r="EL69" s="69">
        <f t="shared" ca="1" si="70"/>
        <v>0</v>
      </c>
    </row>
    <row r="70" spans="2:142" s="53" customFormat="1"/>
    <row r="71" spans="2:142" s="2" customFormat="1">
      <c r="B71" s="28" t="s">
        <v>22</v>
      </c>
      <c r="D71" s="21"/>
      <c r="E71" s="21"/>
      <c r="F71" s="21"/>
      <c r="G71" s="36" t="s">
        <v>21</v>
      </c>
    </row>
    <row r="72" spans="2:142" s="2" customFormat="1">
      <c r="B72" s="35"/>
      <c r="C72" s="26" t="s">
        <v>20</v>
      </c>
      <c r="D72" s="34" t="s">
        <v>19</v>
      </c>
      <c r="F72" s="21"/>
      <c r="G72" s="35"/>
      <c r="H72" s="26" t="s">
        <v>20</v>
      </c>
      <c r="I72" s="34" t="s">
        <v>19</v>
      </c>
      <c r="J72" s="21"/>
    </row>
    <row r="73" spans="2:142" s="2" customFormat="1">
      <c r="B73" s="26" t="s">
        <v>18</v>
      </c>
      <c r="C73" s="33">
        <f ca="1">C98</f>
        <v>332.49053302727589</v>
      </c>
      <c r="D73" s="33">
        <f ca="1">C101</f>
        <v>332.49053302727589</v>
      </c>
      <c r="F73" s="21"/>
      <c r="G73" s="26" t="s">
        <v>18</v>
      </c>
      <c r="H73" s="31">
        <f ca="1">C73-'[1]3.2.2 Yield Curve_USD'!D3</f>
        <v>0</v>
      </c>
      <c r="I73" s="31">
        <f ca="1">D73-'[1]3.2.2 Yield Curve_USD'!D3</f>
        <v>0</v>
      </c>
      <c r="J73" s="21"/>
    </row>
    <row r="74" spans="2:142" s="2" customFormat="1">
      <c r="B74" s="30" t="s">
        <v>17</v>
      </c>
      <c r="C74" s="32">
        <f ca="1">SUM(C75:C78)</f>
        <v>205.40077020873423</v>
      </c>
      <c r="D74" s="32">
        <f ca="1">SUM(D75:D78)</f>
        <v>205.35365382418703</v>
      </c>
      <c r="F74" s="21"/>
      <c r="G74" s="30" t="s">
        <v>17</v>
      </c>
      <c r="H74" s="31">
        <f ca="1">C74-'[1]3.2.2 Yield Curve_USD'!D4</f>
        <v>0</v>
      </c>
      <c r="I74" s="31">
        <f ca="1">D74-'[1]3.2.2 Yield Curve_USD'!E4</f>
        <v>0</v>
      </c>
      <c r="J74" s="21"/>
    </row>
    <row r="75" spans="2:142" s="2" customFormat="1">
      <c r="B75" s="30" t="s">
        <v>16</v>
      </c>
      <c r="C75" s="32">
        <f ca="1">SUMPRODUCT($C$64:$EL$64,$C$52:$EL$52)</f>
        <v>-532.46433448973721</v>
      </c>
      <c r="D75" s="32">
        <f ca="1">SUMPRODUCT($C$64:$EL$64,$C$60:$EL$60)</f>
        <v>-526.61894391523242</v>
      </c>
      <c r="F75" s="21"/>
      <c r="G75" s="30" t="s">
        <v>16</v>
      </c>
      <c r="H75" s="31">
        <f ca="1">C75-'[1]3.2.2 Yield Curve_USD'!D5</f>
        <v>0</v>
      </c>
      <c r="I75" s="31">
        <f ca="1">D75-'[1]3.2.2 Yield Curve_USD'!E5</f>
        <v>0</v>
      </c>
      <c r="J75" s="21"/>
    </row>
    <row r="76" spans="2:142" s="2" customFormat="1">
      <c r="B76" s="30" t="s">
        <v>15</v>
      </c>
      <c r="C76" s="32">
        <f ca="1">SUMPRODUCT($C$65:$EL$65,$C$52:$EL$52)</f>
        <v>11.328411798958438</v>
      </c>
      <c r="D76" s="32">
        <f ca="1">SUMPRODUCT($C$65:$EL$65,$C$60:$EL$60)</f>
        <v>11.234218966172902</v>
      </c>
      <c r="F76" s="21"/>
      <c r="G76" s="30" t="s">
        <v>15</v>
      </c>
      <c r="H76" s="31">
        <f ca="1">C76-'[1]3.2.2 Yield Curve_USD'!D6</f>
        <v>0</v>
      </c>
      <c r="I76" s="31">
        <f ca="1">D76-'[1]3.2.2 Yield Curve_USD'!E6</f>
        <v>0</v>
      </c>
      <c r="J76" s="21"/>
    </row>
    <row r="77" spans="2:142" s="2" customFormat="1">
      <c r="B77" s="30" t="s">
        <v>14</v>
      </c>
      <c r="C77" s="32">
        <f ca="1">SUMPRODUCT($C$66:$EL$66,$C$52:$EL$52)</f>
        <v>522.73162213601495</v>
      </c>
      <c r="D77" s="32">
        <f ca="1">SUMPRODUCT($C$66:$EL$66,$C$60:$EL$60)</f>
        <v>519.04992316461744</v>
      </c>
      <c r="F77" s="21"/>
      <c r="G77" s="30" t="s">
        <v>14</v>
      </c>
      <c r="H77" s="31">
        <f ca="1">C77-'[1]3.2.2 Yield Curve_USD'!D7</f>
        <v>0</v>
      </c>
      <c r="I77" s="31">
        <f ca="1">D77-'[1]3.2.2 Yield Curve_USD'!E7</f>
        <v>0</v>
      </c>
      <c r="J77" s="21"/>
    </row>
    <row r="78" spans="2:142" s="2" customFormat="1">
      <c r="B78" s="30" t="s">
        <v>13</v>
      </c>
      <c r="C78" s="32">
        <f ca="1">SUMPRODUCT($C$67:$EL$67,$C$52:$EL$52)+
SUMPRODUCT($C$68:$EL$68,$C$52:$EL$52)</f>
        <v>203.80507076349807</v>
      </c>
      <c r="D78" s="32">
        <f ca="1">SUMPRODUCT($C$67:$EL$67,$C$60:$EL$60)+
SUMPRODUCT($C$69:$EL$69,$C$60:$EL$60)</f>
        <v>201.68845560862914</v>
      </c>
      <c r="F78" s="21"/>
      <c r="G78" s="30" t="s">
        <v>13</v>
      </c>
      <c r="H78" s="31">
        <f ca="1">C78-'[1]3.2.2 Yield Curve_USD'!D8</f>
        <v>0</v>
      </c>
      <c r="I78" s="31">
        <f ca="1">D78-'[1]3.2.2 Yield Curve_USD'!E8</f>
        <v>0</v>
      </c>
      <c r="J78" s="21"/>
    </row>
    <row r="79" spans="2:142" s="2" customFormat="1">
      <c r="B79" s="30" t="s">
        <v>12</v>
      </c>
      <c r="C79" s="29">
        <f ca="1">(C73-C75-C77)/C76</f>
        <v>30.209287184675173</v>
      </c>
      <c r="D79" s="29">
        <f ca="1">(D73-D75-D77)/D76</f>
        <v>30.269977361295552</v>
      </c>
      <c r="F79" s="21"/>
      <c r="J79" s="21"/>
    </row>
    <row r="80" spans="2:142" s="2" customFormat="1">
      <c r="F80" s="21"/>
      <c r="J80" s="21"/>
    </row>
    <row r="81" spans="1:142" s="2" customFormat="1">
      <c r="B81" s="28" t="s">
        <v>11</v>
      </c>
      <c r="F81" s="21"/>
    </row>
    <row r="82" spans="1:142" s="2" customFormat="1">
      <c r="B82" s="28" t="s">
        <v>10</v>
      </c>
      <c r="C82" s="28" t="s">
        <v>9</v>
      </c>
      <c r="D82" s="28" t="s">
        <v>8</v>
      </c>
      <c r="E82" s="28" t="s">
        <v>7</v>
      </c>
      <c r="F82" s="28" t="s">
        <v>6</v>
      </c>
      <c r="G82" s="21"/>
      <c r="H82" s="21"/>
      <c r="I82" s="21"/>
      <c r="J82" s="23"/>
    </row>
    <row r="83" spans="1:142" s="2" customFormat="1">
      <c r="B83" s="26" t="s">
        <v>5</v>
      </c>
      <c r="C83" s="26" t="s">
        <v>4</v>
      </c>
      <c r="D83" s="26" t="s">
        <v>3</v>
      </c>
      <c r="E83" s="27">
        <f ca="1">C74-D74</f>
        <v>4.7116384547194912E-2</v>
      </c>
      <c r="F83" s="24">
        <v>7.3867569310983899E-2</v>
      </c>
      <c r="G83" s="21"/>
      <c r="H83" s="21"/>
      <c r="I83" s="21"/>
      <c r="J83" s="21"/>
      <c r="K83" s="23"/>
    </row>
    <row r="84" spans="1:142" s="2" customFormat="1">
      <c r="B84" s="26" t="s">
        <v>2</v>
      </c>
      <c r="C84" s="26" t="s">
        <v>1</v>
      </c>
      <c r="D84" s="26" t="s">
        <v>0</v>
      </c>
      <c r="E84" s="25">
        <f ca="1">C79-D79</f>
        <v>-6.0690176620379788E-2</v>
      </c>
      <c r="F84" s="24"/>
      <c r="G84" s="21"/>
      <c r="H84" s="21"/>
      <c r="I84" s="21"/>
      <c r="J84" s="21"/>
      <c r="K84" s="23"/>
    </row>
    <row r="85" spans="1:142" s="2" customFormat="1">
      <c r="B85" s="28"/>
      <c r="C85" s="28"/>
      <c r="D85" s="28"/>
      <c r="E85" s="108"/>
      <c r="F85" s="108"/>
      <c r="G85" s="21"/>
      <c r="H85" s="21"/>
      <c r="I85" s="21"/>
      <c r="J85" s="21"/>
      <c r="K85" s="23"/>
    </row>
    <row r="86" spans="1:142" s="38" customFormat="1" ht="16.5" thickBot="1">
      <c r="B86" s="109"/>
      <c r="C86" s="109"/>
      <c r="D86" s="109"/>
      <c r="E86" s="110"/>
      <c r="F86" s="110"/>
      <c r="G86" s="111"/>
      <c r="H86" s="111"/>
      <c r="I86" s="111"/>
      <c r="J86" s="111"/>
      <c r="K86" s="112"/>
    </row>
    <row r="87" spans="1:142" ht="21" thickTop="1">
      <c r="A87" s="93"/>
      <c r="B87" s="67" t="s">
        <v>78</v>
      </c>
    </row>
    <row r="88" spans="1:142" ht="20.25">
      <c r="A88" s="93"/>
      <c r="B88" s="67"/>
    </row>
    <row r="89" spans="1:142" s="2" customFormat="1">
      <c r="B89" s="92" t="s">
        <v>77</v>
      </c>
      <c r="C89" s="75"/>
      <c r="D89" s="6"/>
      <c r="E89" s="6"/>
      <c r="F89" s="6"/>
      <c r="G89" s="6"/>
      <c r="H89" s="6"/>
      <c r="I89" s="6"/>
      <c r="J89" s="6"/>
      <c r="L89" s="85"/>
    </row>
    <row r="90" spans="1:142" s="2" customFormat="1">
      <c r="B90" s="44" t="s">
        <v>154</v>
      </c>
      <c r="C90" s="44">
        <f t="shared" ref="C90:AH90" si="71">C27</f>
        <v>0</v>
      </c>
      <c r="D90" s="43">
        <f t="shared" si="71"/>
        <v>1</v>
      </c>
      <c r="E90" s="43">
        <f t="shared" si="71"/>
        <v>2</v>
      </c>
      <c r="F90" s="43">
        <f t="shared" si="71"/>
        <v>3</v>
      </c>
      <c r="G90" s="43">
        <f t="shared" si="71"/>
        <v>4</v>
      </c>
      <c r="H90" s="43">
        <f t="shared" si="71"/>
        <v>5</v>
      </c>
      <c r="I90" s="43">
        <f t="shared" si="71"/>
        <v>6</v>
      </c>
      <c r="J90" s="43">
        <f t="shared" si="71"/>
        <v>7</v>
      </c>
      <c r="K90" s="43">
        <f t="shared" si="71"/>
        <v>8</v>
      </c>
      <c r="L90" s="43">
        <f t="shared" si="71"/>
        <v>9</v>
      </c>
      <c r="M90" s="43">
        <f t="shared" si="71"/>
        <v>10</v>
      </c>
      <c r="N90" s="43">
        <f t="shared" si="71"/>
        <v>11</v>
      </c>
      <c r="O90" s="43">
        <f t="shared" si="71"/>
        <v>12</v>
      </c>
      <c r="P90" s="43">
        <f t="shared" si="71"/>
        <v>13</v>
      </c>
      <c r="Q90" s="43">
        <f t="shared" si="71"/>
        <v>14</v>
      </c>
      <c r="R90" s="43">
        <f t="shared" si="71"/>
        <v>15</v>
      </c>
      <c r="S90" s="43">
        <f t="shared" si="71"/>
        <v>16</v>
      </c>
      <c r="T90" s="43">
        <f t="shared" si="71"/>
        <v>17</v>
      </c>
      <c r="U90" s="43">
        <f t="shared" si="71"/>
        <v>18</v>
      </c>
      <c r="V90" s="43">
        <f t="shared" si="71"/>
        <v>19</v>
      </c>
      <c r="W90" s="43">
        <f t="shared" si="71"/>
        <v>20</v>
      </c>
      <c r="X90" s="43">
        <f t="shared" si="71"/>
        <v>21</v>
      </c>
      <c r="Y90" s="43">
        <f t="shared" si="71"/>
        <v>22</v>
      </c>
      <c r="Z90" s="43">
        <f t="shared" si="71"/>
        <v>23</v>
      </c>
      <c r="AA90" s="43">
        <f t="shared" si="71"/>
        <v>24</v>
      </c>
      <c r="AB90" s="43">
        <f t="shared" si="71"/>
        <v>25</v>
      </c>
      <c r="AC90" s="43">
        <f t="shared" si="71"/>
        <v>26</v>
      </c>
      <c r="AD90" s="43">
        <f t="shared" si="71"/>
        <v>27</v>
      </c>
      <c r="AE90" s="43">
        <f t="shared" si="71"/>
        <v>28</v>
      </c>
      <c r="AF90" s="43">
        <f t="shared" si="71"/>
        <v>29</v>
      </c>
      <c r="AG90" s="43">
        <f t="shared" si="71"/>
        <v>30</v>
      </c>
      <c r="AH90" s="43">
        <f t="shared" si="71"/>
        <v>31</v>
      </c>
      <c r="AI90" s="43">
        <f t="shared" ref="AI90:BN90" si="72">AI27</f>
        <v>32</v>
      </c>
      <c r="AJ90" s="43">
        <f t="shared" si="72"/>
        <v>33</v>
      </c>
      <c r="AK90" s="43">
        <f t="shared" si="72"/>
        <v>34</v>
      </c>
      <c r="AL90" s="43">
        <f t="shared" si="72"/>
        <v>35</v>
      </c>
      <c r="AM90" s="43">
        <f t="shared" si="72"/>
        <v>36</v>
      </c>
      <c r="AN90" s="43">
        <f t="shared" si="72"/>
        <v>37</v>
      </c>
      <c r="AO90" s="43">
        <f t="shared" si="72"/>
        <v>38</v>
      </c>
      <c r="AP90" s="43">
        <f t="shared" si="72"/>
        <v>39</v>
      </c>
      <c r="AQ90" s="43">
        <f t="shared" si="72"/>
        <v>40</v>
      </c>
      <c r="AR90" s="43">
        <f t="shared" si="72"/>
        <v>41</v>
      </c>
      <c r="AS90" s="43">
        <f t="shared" si="72"/>
        <v>42</v>
      </c>
      <c r="AT90" s="43">
        <f t="shared" si="72"/>
        <v>43</v>
      </c>
      <c r="AU90" s="43">
        <f t="shared" si="72"/>
        <v>44</v>
      </c>
      <c r="AV90" s="43">
        <f t="shared" si="72"/>
        <v>45</v>
      </c>
      <c r="AW90" s="43">
        <f t="shared" si="72"/>
        <v>46</v>
      </c>
      <c r="AX90" s="43">
        <f t="shared" si="72"/>
        <v>47</v>
      </c>
      <c r="AY90" s="43">
        <f t="shared" si="72"/>
        <v>48</v>
      </c>
      <c r="AZ90" s="43">
        <f t="shared" si="72"/>
        <v>49</v>
      </c>
      <c r="BA90" s="43">
        <f t="shared" si="72"/>
        <v>50</v>
      </c>
      <c r="BB90" s="43">
        <f t="shared" si="72"/>
        <v>51</v>
      </c>
      <c r="BC90" s="43">
        <f t="shared" si="72"/>
        <v>52</v>
      </c>
      <c r="BD90" s="43">
        <f t="shared" si="72"/>
        <v>53</v>
      </c>
      <c r="BE90" s="43">
        <f t="shared" si="72"/>
        <v>54</v>
      </c>
      <c r="BF90" s="43">
        <f t="shared" si="72"/>
        <v>55</v>
      </c>
      <c r="BG90" s="43">
        <f t="shared" si="72"/>
        <v>56</v>
      </c>
      <c r="BH90" s="43">
        <f t="shared" si="72"/>
        <v>57</v>
      </c>
      <c r="BI90" s="43">
        <f t="shared" si="72"/>
        <v>58</v>
      </c>
      <c r="BJ90" s="43">
        <f t="shared" si="72"/>
        <v>59</v>
      </c>
      <c r="BK90" s="43">
        <f t="shared" si="72"/>
        <v>60</v>
      </c>
      <c r="BL90" s="43">
        <f t="shared" si="72"/>
        <v>61</v>
      </c>
      <c r="BM90" s="43">
        <f t="shared" si="72"/>
        <v>62</v>
      </c>
      <c r="BN90" s="43">
        <f t="shared" si="72"/>
        <v>63</v>
      </c>
      <c r="BO90" s="43">
        <f t="shared" ref="BO90:CT90" si="73">BO27</f>
        <v>64</v>
      </c>
      <c r="BP90" s="43">
        <f t="shared" si="73"/>
        <v>65</v>
      </c>
      <c r="BQ90" s="43">
        <f t="shared" si="73"/>
        <v>66</v>
      </c>
      <c r="BR90" s="43">
        <f t="shared" si="73"/>
        <v>67</v>
      </c>
      <c r="BS90" s="43">
        <f t="shared" si="73"/>
        <v>68</v>
      </c>
      <c r="BT90" s="43">
        <f t="shared" si="73"/>
        <v>69</v>
      </c>
      <c r="BU90" s="43">
        <f t="shared" si="73"/>
        <v>70</v>
      </c>
      <c r="BV90" s="43">
        <f t="shared" si="73"/>
        <v>71</v>
      </c>
      <c r="BW90" s="43">
        <f t="shared" si="73"/>
        <v>72</v>
      </c>
      <c r="BX90" s="43">
        <f t="shared" si="73"/>
        <v>73</v>
      </c>
      <c r="BY90" s="43">
        <f t="shared" si="73"/>
        <v>74</v>
      </c>
      <c r="BZ90" s="43">
        <f t="shared" si="73"/>
        <v>75</v>
      </c>
      <c r="CA90" s="43">
        <f t="shared" si="73"/>
        <v>76</v>
      </c>
      <c r="CB90" s="43">
        <f t="shared" si="73"/>
        <v>77</v>
      </c>
      <c r="CC90" s="43">
        <f t="shared" si="73"/>
        <v>78</v>
      </c>
      <c r="CD90" s="43">
        <f t="shared" si="73"/>
        <v>79</v>
      </c>
      <c r="CE90" s="43">
        <f t="shared" si="73"/>
        <v>80</v>
      </c>
      <c r="CF90" s="43">
        <f t="shared" si="73"/>
        <v>81</v>
      </c>
      <c r="CG90" s="43">
        <f t="shared" si="73"/>
        <v>82</v>
      </c>
      <c r="CH90" s="43">
        <f t="shared" si="73"/>
        <v>83</v>
      </c>
      <c r="CI90" s="43">
        <f t="shared" si="73"/>
        <v>84</v>
      </c>
      <c r="CJ90" s="43">
        <f t="shared" si="73"/>
        <v>85</v>
      </c>
      <c r="CK90" s="43">
        <f t="shared" si="73"/>
        <v>86</v>
      </c>
      <c r="CL90" s="43">
        <f t="shared" si="73"/>
        <v>87</v>
      </c>
      <c r="CM90" s="43">
        <f t="shared" si="73"/>
        <v>88</v>
      </c>
      <c r="CN90" s="43">
        <f t="shared" si="73"/>
        <v>89</v>
      </c>
      <c r="CO90" s="43">
        <f t="shared" si="73"/>
        <v>90</v>
      </c>
      <c r="CP90" s="43">
        <f t="shared" si="73"/>
        <v>91</v>
      </c>
      <c r="CQ90" s="43">
        <f t="shared" si="73"/>
        <v>92</v>
      </c>
      <c r="CR90" s="43">
        <f t="shared" si="73"/>
        <v>93</v>
      </c>
      <c r="CS90" s="43">
        <f t="shared" si="73"/>
        <v>94</v>
      </c>
      <c r="CT90" s="43">
        <f t="shared" si="73"/>
        <v>95</v>
      </c>
      <c r="CU90" s="43">
        <f t="shared" ref="CU90:DZ90" si="74">CU27</f>
        <v>96</v>
      </c>
      <c r="CV90" s="43">
        <f t="shared" si="74"/>
        <v>97</v>
      </c>
      <c r="CW90" s="43">
        <f t="shared" si="74"/>
        <v>98</v>
      </c>
      <c r="CX90" s="43">
        <f t="shared" si="74"/>
        <v>99</v>
      </c>
      <c r="CY90" s="43">
        <f t="shared" si="74"/>
        <v>100</v>
      </c>
      <c r="CZ90" s="43">
        <f t="shared" si="74"/>
        <v>101</v>
      </c>
      <c r="DA90" s="43">
        <f t="shared" si="74"/>
        <v>102</v>
      </c>
      <c r="DB90" s="43">
        <f t="shared" si="74"/>
        <v>103</v>
      </c>
      <c r="DC90" s="43">
        <f t="shared" si="74"/>
        <v>104</v>
      </c>
      <c r="DD90" s="43">
        <f t="shared" si="74"/>
        <v>105</v>
      </c>
      <c r="DE90" s="43">
        <f t="shared" si="74"/>
        <v>106</v>
      </c>
      <c r="DF90" s="43">
        <f t="shared" si="74"/>
        <v>107</v>
      </c>
      <c r="DG90" s="43">
        <f t="shared" si="74"/>
        <v>108</v>
      </c>
      <c r="DH90" s="43">
        <f t="shared" si="74"/>
        <v>109</v>
      </c>
      <c r="DI90" s="43">
        <f t="shared" si="74"/>
        <v>110</v>
      </c>
      <c r="DJ90" s="43">
        <f t="shared" si="74"/>
        <v>111</v>
      </c>
      <c r="DK90" s="43">
        <f t="shared" si="74"/>
        <v>112</v>
      </c>
      <c r="DL90" s="43">
        <f t="shared" si="74"/>
        <v>113</v>
      </c>
      <c r="DM90" s="43">
        <f t="shared" si="74"/>
        <v>114</v>
      </c>
      <c r="DN90" s="43">
        <f t="shared" si="74"/>
        <v>115</v>
      </c>
      <c r="DO90" s="43">
        <f t="shared" si="74"/>
        <v>116</v>
      </c>
      <c r="DP90" s="43">
        <f t="shared" si="74"/>
        <v>117</v>
      </c>
      <c r="DQ90" s="43">
        <f t="shared" si="74"/>
        <v>118</v>
      </c>
      <c r="DR90" s="43">
        <f t="shared" si="74"/>
        <v>119</v>
      </c>
      <c r="DS90" s="43">
        <f t="shared" si="74"/>
        <v>120</v>
      </c>
      <c r="DT90" s="43">
        <f t="shared" si="74"/>
        <v>121</v>
      </c>
      <c r="DU90" s="43">
        <f t="shared" si="74"/>
        <v>122</v>
      </c>
      <c r="DV90" s="43">
        <f t="shared" si="74"/>
        <v>123</v>
      </c>
      <c r="DW90" s="43">
        <f t="shared" si="74"/>
        <v>124</v>
      </c>
      <c r="DX90" s="43">
        <f t="shared" si="74"/>
        <v>125</v>
      </c>
      <c r="DY90" s="43">
        <f t="shared" si="74"/>
        <v>126</v>
      </c>
      <c r="DZ90" s="43">
        <f t="shared" si="74"/>
        <v>127</v>
      </c>
      <c r="EA90" s="43">
        <f t="shared" ref="EA90:EL90" si="75">EA27</f>
        <v>128</v>
      </c>
      <c r="EB90" s="43">
        <f t="shared" si="75"/>
        <v>129</v>
      </c>
      <c r="EC90" s="43">
        <f t="shared" si="75"/>
        <v>130</v>
      </c>
      <c r="ED90" s="43">
        <f t="shared" si="75"/>
        <v>131</v>
      </c>
      <c r="EE90" s="43">
        <f t="shared" si="75"/>
        <v>132</v>
      </c>
      <c r="EF90" s="43">
        <f t="shared" si="75"/>
        <v>133</v>
      </c>
      <c r="EG90" s="43">
        <f t="shared" si="75"/>
        <v>134</v>
      </c>
      <c r="EH90" s="43">
        <f t="shared" si="75"/>
        <v>135</v>
      </c>
      <c r="EI90" s="43">
        <f t="shared" si="75"/>
        <v>136</v>
      </c>
      <c r="EJ90" s="43">
        <f t="shared" si="75"/>
        <v>137</v>
      </c>
      <c r="EK90" s="43">
        <f t="shared" si="75"/>
        <v>138</v>
      </c>
      <c r="EL90" s="43">
        <f t="shared" si="75"/>
        <v>139</v>
      </c>
    </row>
    <row r="91" spans="1:142" s="2" customFormat="1">
      <c r="B91" s="51" t="s">
        <v>76</v>
      </c>
      <c r="C91" s="83"/>
      <c r="D91" s="83">
        <f>LiabilityCF!D5</f>
        <v>157.13619894351649</v>
      </c>
      <c r="E91" s="83">
        <f>LiabilityCF!E5</f>
        <v>96.610157661386637</v>
      </c>
      <c r="F91" s="83">
        <f>LiabilityCF!F5</f>
        <v>65.549304041713938</v>
      </c>
      <c r="G91" s="83">
        <f>LiabilityCF!G5</f>
        <v>31.393519340798406</v>
      </c>
      <c r="H91" s="83">
        <f>LiabilityCF!H5</f>
        <v>0.58748696399777423</v>
      </c>
      <c r="I91" s="83">
        <f>LiabilityCF!I5</f>
        <v>0.3751708314249082</v>
      </c>
      <c r="J91" s="83">
        <f>LiabilityCF!J5</f>
        <v>0.227179292170752</v>
      </c>
      <c r="K91" s="83">
        <f>LiabilityCF!K5</f>
        <v>0.11492000369570493</v>
      </c>
      <c r="L91" s="83">
        <f>LiabilityCF!L5</f>
        <v>0.10600012602879924</v>
      </c>
      <c r="M91" s="83">
        <f>LiabilityCF!M5</f>
        <v>8.562683787312414E-2</v>
      </c>
      <c r="N91" s="83">
        <f>LiabilityCF!N5</f>
        <v>8.1849036225398783E-2</v>
      </c>
      <c r="O91" s="83">
        <f>LiabilityCF!O5</f>
        <v>7.8909285907571416E-2</v>
      </c>
      <c r="P91" s="83">
        <f>LiabilityCF!P5</f>
        <v>7.6450459523573336E-2</v>
      </c>
      <c r="Q91" s="83">
        <f>LiabilityCF!Q5</f>
        <v>7.3371234446195824E-2</v>
      </c>
      <c r="R91" s="83">
        <f>LiabilityCF!R5</f>
        <v>6.8345446652336175E-2</v>
      </c>
      <c r="S91" s="83">
        <f>LiabilityCF!S5</f>
        <v>6.4937595294197334E-2</v>
      </c>
      <c r="T91" s="83">
        <f>LiabilityCF!T5</f>
        <v>6.1628362420525273E-2</v>
      </c>
      <c r="U91" s="83">
        <f>LiabilityCF!U5</f>
        <v>5.8605539393339741E-2</v>
      </c>
      <c r="V91" s="83">
        <f>LiabilityCF!V5</f>
        <v>5.4398747961962701E-2</v>
      </c>
      <c r="W91" s="83">
        <f>LiabilityCF!W5</f>
        <v>3.1573063557654345E-2</v>
      </c>
      <c r="X91" s="83">
        <f>LiabilityCF!X5</f>
        <v>2.5783409200050709E-2</v>
      </c>
      <c r="Y91" s="83">
        <f>LiabilityCF!Y5</f>
        <v>2.1530561275580735E-2</v>
      </c>
      <c r="Z91" s="83">
        <f>LiabilityCF!Z5</f>
        <v>1.9875679391094418E-2</v>
      </c>
      <c r="AA91" s="83">
        <f>LiabilityCF!AA5</f>
        <v>1.8509246599899633E-2</v>
      </c>
      <c r="AB91" s="83">
        <f>LiabilityCF!AB5</f>
        <v>4.8687533946509905E-4</v>
      </c>
      <c r="AC91" s="83">
        <f>LiabilityCF!AC5</f>
        <v>0</v>
      </c>
      <c r="AD91" s="83">
        <f>LiabilityCF!AD5</f>
        <v>0</v>
      </c>
      <c r="AE91" s="83">
        <f>LiabilityCF!AE5</f>
        <v>0</v>
      </c>
      <c r="AF91" s="83">
        <f>LiabilityCF!AF5</f>
        <v>0</v>
      </c>
      <c r="AG91" s="83">
        <f>LiabilityCF!AG5</f>
        <v>0</v>
      </c>
      <c r="AH91" s="83">
        <f>LiabilityCF!AH5</f>
        <v>0</v>
      </c>
      <c r="AI91" s="83">
        <f>LiabilityCF!AI5</f>
        <v>0</v>
      </c>
      <c r="AJ91" s="83">
        <f>LiabilityCF!AJ5</f>
        <v>0</v>
      </c>
      <c r="AK91" s="83">
        <f>LiabilityCF!AK5</f>
        <v>0</v>
      </c>
      <c r="AL91" s="83">
        <f>LiabilityCF!AL5</f>
        <v>0</v>
      </c>
      <c r="AM91" s="83">
        <f>LiabilityCF!AM5</f>
        <v>0</v>
      </c>
      <c r="AN91" s="83">
        <f>LiabilityCF!AN5</f>
        <v>0</v>
      </c>
      <c r="AO91" s="83">
        <f>LiabilityCF!AO5</f>
        <v>0</v>
      </c>
      <c r="AP91" s="83">
        <f>LiabilityCF!AP5</f>
        <v>0</v>
      </c>
      <c r="AQ91" s="83">
        <f>LiabilityCF!AQ5</f>
        <v>0</v>
      </c>
      <c r="AR91" s="83">
        <f>LiabilityCF!AR5</f>
        <v>0</v>
      </c>
      <c r="AS91" s="83">
        <f>LiabilityCF!AS5</f>
        <v>0</v>
      </c>
      <c r="AT91" s="83">
        <f>LiabilityCF!AT5</f>
        <v>0</v>
      </c>
      <c r="AU91" s="83">
        <f>LiabilityCF!AU5</f>
        <v>0</v>
      </c>
      <c r="AV91" s="83">
        <f>LiabilityCF!AV5</f>
        <v>0</v>
      </c>
      <c r="AW91" s="83">
        <f>LiabilityCF!AW5</f>
        <v>0</v>
      </c>
      <c r="AX91" s="83">
        <f>LiabilityCF!AX5</f>
        <v>0</v>
      </c>
      <c r="AY91" s="83">
        <f>LiabilityCF!AY5</f>
        <v>0</v>
      </c>
      <c r="AZ91" s="83">
        <f>LiabilityCF!AZ5</f>
        <v>0</v>
      </c>
      <c r="BA91" s="83">
        <f>LiabilityCF!BA5</f>
        <v>0</v>
      </c>
      <c r="BB91" s="83">
        <f>LiabilityCF!BB5</f>
        <v>0</v>
      </c>
      <c r="BC91" s="83">
        <f>LiabilityCF!BC5</f>
        <v>0</v>
      </c>
      <c r="BD91" s="83">
        <f>LiabilityCF!BD5</f>
        <v>0</v>
      </c>
      <c r="BE91" s="83">
        <f>LiabilityCF!BE5</f>
        <v>0</v>
      </c>
      <c r="BF91" s="83">
        <f>LiabilityCF!BF5</f>
        <v>0</v>
      </c>
      <c r="BG91" s="83">
        <f>LiabilityCF!BG5</f>
        <v>0</v>
      </c>
      <c r="BH91" s="83">
        <f>LiabilityCF!BH5</f>
        <v>0</v>
      </c>
      <c r="BI91" s="83">
        <f>LiabilityCF!BI5</f>
        <v>0</v>
      </c>
      <c r="BJ91" s="83">
        <f>LiabilityCF!BJ5</f>
        <v>0</v>
      </c>
      <c r="BK91" s="83">
        <f>LiabilityCF!BK5</f>
        <v>0</v>
      </c>
      <c r="BL91" s="83">
        <f>LiabilityCF!BL5</f>
        <v>0</v>
      </c>
      <c r="BM91" s="83">
        <f>LiabilityCF!BM5</f>
        <v>0</v>
      </c>
      <c r="BN91" s="83">
        <f>LiabilityCF!BN5</f>
        <v>0</v>
      </c>
      <c r="BO91" s="83">
        <f>LiabilityCF!BO5</f>
        <v>0</v>
      </c>
      <c r="BP91" s="83">
        <f>LiabilityCF!BP5</f>
        <v>0</v>
      </c>
      <c r="BQ91" s="83">
        <f>LiabilityCF!BQ5</f>
        <v>0</v>
      </c>
      <c r="BR91" s="83">
        <f>LiabilityCF!BR5</f>
        <v>0</v>
      </c>
      <c r="BS91" s="83">
        <f>LiabilityCF!BS5</f>
        <v>0</v>
      </c>
      <c r="BT91" s="83">
        <f>LiabilityCF!BT5</f>
        <v>0</v>
      </c>
      <c r="BU91" s="83">
        <f>LiabilityCF!BU5</f>
        <v>0</v>
      </c>
      <c r="BV91" s="83">
        <f>LiabilityCF!BV5</f>
        <v>0</v>
      </c>
      <c r="BW91" s="83">
        <f>LiabilityCF!BW5</f>
        <v>0</v>
      </c>
      <c r="BX91" s="83">
        <f>LiabilityCF!BX5</f>
        <v>0</v>
      </c>
      <c r="BY91" s="83">
        <f>LiabilityCF!BY5</f>
        <v>0</v>
      </c>
      <c r="BZ91" s="83">
        <f>LiabilityCF!BZ5</f>
        <v>0</v>
      </c>
      <c r="CA91" s="83">
        <f>LiabilityCF!CA5</f>
        <v>0</v>
      </c>
      <c r="CB91" s="83">
        <f>LiabilityCF!CB5</f>
        <v>0</v>
      </c>
      <c r="CC91" s="83">
        <f>LiabilityCF!CC5</f>
        <v>0</v>
      </c>
      <c r="CD91" s="83">
        <f>LiabilityCF!CD5</f>
        <v>0</v>
      </c>
      <c r="CE91" s="83">
        <f>LiabilityCF!CE5</f>
        <v>0</v>
      </c>
      <c r="CF91" s="83">
        <f>LiabilityCF!CF5</f>
        <v>0</v>
      </c>
      <c r="CG91" s="83">
        <f>LiabilityCF!CG5</f>
        <v>0</v>
      </c>
      <c r="CH91" s="83">
        <f>LiabilityCF!CH5</f>
        <v>0</v>
      </c>
      <c r="CI91" s="83">
        <f>LiabilityCF!CI5</f>
        <v>0</v>
      </c>
      <c r="CJ91" s="83">
        <f>LiabilityCF!CJ5</f>
        <v>0</v>
      </c>
      <c r="CK91" s="83">
        <f>LiabilityCF!CK5</f>
        <v>0</v>
      </c>
      <c r="CL91" s="83">
        <f>LiabilityCF!CL5</f>
        <v>0</v>
      </c>
      <c r="CM91" s="83">
        <f>LiabilityCF!CM5</f>
        <v>0</v>
      </c>
      <c r="CN91" s="83">
        <f>LiabilityCF!CN5</f>
        <v>0</v>
      </c>
      <c r="CO91" s="83">
        <f>LiabilityCF!CO5</f>
        <v>0</v>
      </c>
      <c r="CP91" s="83">
        <f>LiabilityCF!CP5</f>
        <v>0</v>
      </c>
      <c r="CQ91" s="83">
        <f>LiabilityCF!CQ5</f>
        <v>0</v>
      </c>
      <c r="CR91" s="83">
        <f>LiabilityCF!CR5</f>
        <v>0</v>
      </c>
      <c r="CS91" s="83">
        <f>LiabilityCF!CS5</f>
        <v>0</v>
      </c>
      <c r="CT91" s="83">
        <f>LiabilityCF!CT5</f>
        <v>0</v>
      </c>
      <c r="CU91" s="83">
        <f>LiabilityCF!CU5</f>
        <v>0</v>
      </c>
      <c r="CV91" s="83">
        <f>LiabilityCF!CV5</f>
        <v>0</v>
      </c>
      <c r="CW91" s="83">
        <f>LiabilityCF!CW5</f>
        <v>0</v>
      </c>
      <c r="CX91" s="83">
        <f>LiabilityCF!CX5</f>
        <v>0</v>
      </c>
      <c r="CY91" s="83">
        <f>LiabilityCF!CY5</f>
        <v>0</v>
      </c>
      <c r="CZ91" s="83">
        <f>LiabilityCF!CZ5</f>
        <v>0</v>
      </c>
      <c r="DA91" s="83">
        <f>LiabilityCF!DA5</f>
        <v>0</v>
      </c>
      <c r="DB91" s="83">
        <f>LiabilityCF!DB5</f>
        <v>0</v>
      </c>
      <c r="DC91" s="83">
        <f>LiabilityCF!DC5</f>
        <v>0</v>
      </c>
      <c r="DD91" s="83">
        <f>LiabilityCF!DD5</f>
        <v>0</v>
      </c>
      <c r="DE91" s="83">
        <f>LiabilityCF!DE5</f>
        <v>0</v>
      </c>
      <c r="DF91" s="83">
        <f>LiabilityCF!DF5</f>
        <v>0</v>
      </c>
      <c r="DG91" s="83">
        <f>LiabilityCF!DG5</f>
        <v>0</v>
      </c>
      <c r="DH91" s="83">
        <f>LiabilityCF!DH5</f>
        <v>0</v>
      </c>
      <c r="DI91" s="83">
        <f>LiabilityCF!DI5</f>
        <v>0</v>
      </c>
      <c r="DJ91" s="83">
        <f>LiabilityCF!DJ5</f>
        <v>0</v>
      </c>
      <c r="DK91" s="83">
        <f>LiabilityCF!DK5</f>
        <v>0</v>
      </c>
      <c r="DL91" s="83">
        <f>LiabilityCF!DL5</f>
        <v>0</v>
      </c>
      <c r="DM91" s="83">
        <f>LiabilityCF!DM5</f>
        <v>0</v>
      </c>
      <c r="DN91" s="83">
        <f>LiabilityCF!DN5</f>
        <v>0</v>
      </c>
      <c r="DO91" s="83">
        <f>LiabilityCF!DO5</f>
        <v>0</v>
      </c>
      <c r="DP91" s="83">
        <f>LiabilityCF!DP5</f>
        <v>0</v>
      </c>
      <c r="DQ91" s="83">
        <f>LiabilityCF!DQ5</f>
        <v>0</v>
      </c>
      <c r="DR91" s="83">
        <f>LiabilityCF!DR5</f>
        <v>0</v>
      </c>
      <c r="DS91" s="83">
        <f>LiabilityCF!DS5</f>
        <v>0</v>
      </c>
      <c r="DT91" s="83">
        <f>LiabilityCF!DT5</f>
        <v>0</v>
      </c>
      <c r="DU91" s="83">
        <f>LiabilityCF!DU5</f>
        <v>0</v>
      </c>
      <c r="DV91" s="83">
        <f>LiabilityCF!DV5</f>
        <v>0</v>
      </c>
      <c r="DW91" s="83">
        <f>LiabilityCF!DW5</f>
        <v>0</v>
      </c>
      <c r="DX91" s="83">
        <f>LiabilityCF!DX5</f>
        <v>0</v>
      </c>
      <c r="DY91" s="83">
        <f>LiabilityCF!DY5</f>
        <v>0</v>
      </c>
      <c r="DZ91" s="83">
        <f>LiabilityCF!DZ5</f>
        <v>0</v>
      </c>
      <c r="EA91" s="83">
        <f>LiabilityCF!EA5</f>
        <v>0</v>
      </c>
      <c r="EB91" s="83">
        <f>LiabilityCF!EB5</f>
        <v>0</v>
      </c>
      <c r="EC91" s="83">
        <f>LiabilityCF!EC5</f>
        <v>0</v>
      </c>
      <c r="ED91" s="83">
        <f>LiabilityCF!ED5</f>
        <v>0</v>
      </c>
      <c r="EE91" s="83">
        <f>LiabilityCF!EE5</f>
        <v>0</v>
      </c>
      <c r="EF91" s="83">
        <f>LiabilityCF!EF5</f>
        <v>0</v>
      </c>
      <c r="EG91" s="83">
        <f>LiabilityCF!EG5</f>
        <v>0</v>
      </c>
      <c r="EH91" s="83">
        <f>LiabilityCF!EH5</f>
        <v>0</v>
      </c>
      <c r="EI91" s="83">
        <f>LiabilityCF!EI5</f>
        <v>0</v>
      </c>
      <c r="EJ91" s="83">
        <f>LiabilityCF!EJ5</f>
        <v>0</v>
      </c>
      <c r="EK91" s="83">
        <f>LiabilityCF!EK5</f>
        <v>0</v>
      </c>
      <c r="EL91" s="83">
        <f>LiabilityCF!EL5</f>
        <v>0</v>
      </c>
    </row>
    <row r="92" spans="1:142" s="2" customFormat="1">
      <c r="B92" s="51" t="s">
        <v>75</v>
      </c>
      <c r="C92" s="83"/>
      <c r="D92" s="83">
        <f>LiabilityCF!D6</f>
        <v>-8.7361244668509244</v>
      </c>
      <c r="E92" s="83">
        <f>LiabilityCF!E6</f>
        <v>-11.565251831794697</v>
      </c>
      <c r="F92" s="83">
        <f>LiabilityCF!F6</f>
        <v>-14.914699303563587</v>
      </c>
      <c r="G92" s="83">
        <f>LiabilityCF!G6</f>
        <v>-20.311022196667594</v>
      </c>
      <c r="H92" s="83">
        <f>LiabilityCF!H6</f>
        <v>-30.725001546022014</v>
      </c>
      <c r="I92" s="83">
        <f>LiabilityCF!I6</f>
        <v>-42.21623669967223</v>
      </c>
      <c r="J92" s="83">
        <f>LiabilityCF!J6</f>
        <v>-47.010825414923836</v>
      </c>
      <c r="K92" s="83">
        <f>LiabilityCF!K6</f>
        <v>-40.931809603175239</v>
      </c>
      <c r="L92" s="83">
        <f>LiabilityCF!L6</f>
        <v>-32.763174674427589</v>
      </c>
      <c r="M92" s="83">
        <f>LiabilityCF!M6</f>
        <v>-23.23643946026154</v>
      </c>
      <c r="N92" s="83">
        <f>LiabilityCF!N6</f>
        <v>-17.253504220228091</v>
      </c>
      <c r="O92" s="83">
        <f>LiabilityCF!O6</f>
        <v>-15.293212331873869</v>
      </c>
      <c r="P92" s="83">
        <f>LiabilityCF!P6</f>
        <v>-15.236044187134871</v>
      </c>
      <c r="Q92" s="83">
        <f>LiabilityCF!Q6</f>
        <v>-15.466339187517864</v>
      </c>
      <c r="R92" s="83">
        <f>LiabilityCF!R6</f>
        <v>-15.706514580979446</v>
      </c>
      <c r="S92" s="83">
        <f>LiabilityCF!S6</f>
        <v>-15.966227645378961</v>
      </c>
      <c r="T92" s="83">
        <f>LiabilityCF!T6</f>
        <v>-16.22662815543783</v>
      </c>
      <c r="U92" s="83">
        <f>LiabilityCF!U6</f>
        <v>-16.456645316463145</v>
      </c>
      <c r="V92" s="83">
        <f>LiabilityCF!V6</f>
        <v>-16.67837695679513</v>
      </c>
      <c r="W92" s="83">
        <f>LiabilityCF!W6</f>
        <v>-16.897626017791495</v>
      </c>
      <c r="X92" s="83">
        <f>LiabilityCF!X6</f>
        <v>-17.111306932635209</v>
      </c>
      <c r="Y92" s="83">
        <f>LiabilityCF!Y6</f>
        <v>-17.313279665272088</v>
      </c>
      <c r="Z92" s="83">
        <f>LiabilityCF!Z6</f>
        <v>-17.495871214426575</v>
      </c>
      <c r="AA92" s="83">
        <f>LiabilityCF!AA6</f>
        <v>-17.654259987830724</v>
      </c>
      <c r="AB92" s="83">
        <f>LiabilityCF!AB6</f>
        <v>-17.78109417447283</v>
      </c>
      <c r="AC92" s="83">
        <f>LiabilityCF!AC6</f>
        <v>-17.86895097200879</v>
      </c>
      <c r="AD92" s="83">
        <f>LiabilityCF!AD6</f>
        <v>-17.911776864664674</v>
      </c>
      <c r="AE92" s="83">
        <f>LiabilityCF!AE6</f>
        <v>-17.907719004699093</v>
      </c>
      <c r="AF92" s="83">
        <f>LiabilityCF!AF6</f>
        <v>-17.860179186599868</v>
      </c>
      <c r="AG92" s="83">
        <f>LiabilityCF!AG6</f>
        <v>-17.758524075332243</v>
      </c>
      <c r="AH92" s="83">
        <f>LiabilityCF!AH6</f>
        <v>-17.604740891344225</v>
      </c>
      <c r="AI92" s="83">
        <f>LiabilityCF!AI6</f>
        <v>-17.386981944022242</v>
      </c>
      <c r="AJ92" s="83">
        <f>LiabilityCF!AJ6</f>
        <v>-17.109300362084134</v>
      </c>
      <c r="AK92" s="83">
        <f>LiabilityCF!AK6</f>
        <v>-16.772505477562476</v>
      </c>
      <c r="AL92" s="83">
        <f>LiabilityCF!AL6</f>
        <v>-16.376149951099826</v>
      </c>
      <c r="AM92" s="83">
        <f>LiabilityCF!AM6</f>
        <v>-15.923005942185538</v>
      </c>
      <c r="AN92" s="83">
        <f>LiabilityCF!AN6</f>
        <v>-15.416090966850247</v>
      </c>
      <c r="AO92" s="83">
        <f>LiabilityCF!AO6</f>
        <v>-14.858016393215644</v>
      </c>
      <c r="AP92" s="83">
        <f>LiabilityCF!AP6</f>
        <v>-14.255965625863169</v>
      </c>
      <c r="AQ92" s="83">
        <f>LiabilityCF!AQ6</f>
        <v>-13.616921602381369</v>
      </c>
      <c r="AR92" s="83">
        <f>LiabilityCF!AR6</f>
        <v>-12.953578311404767</v>
      </c>
      <c r="AS92" s="83">
        <f>LiabilityCF!AS6</f>
        <v>-12.278644609753732</v>
      </c>
      <c r="AT92" s="83">
        <f>LiabilityCF!AT6</f>
        <v>-11.600837530322226</v>
      </c>
      <c r="AU92" s="83">
        <f>LiabilityCF!AU6</f>
        <v>-10.926004610168066</v>
      </c>
      <c r="AV92" s="83">
        <f>LiabilityCF!AV6</f>
        <v>-10.259549938178543</v>
      </c>
      <c r="AW92" s="83">
        <f>LiabilityCF!AW6</f>
        <v>-9.6088797955908731</v>
      </c>
      <c r="AX92" s="83">
        <f>LiabilityCF!AX6</f>
        <v>-8.9776761917789472</v>
      </c>
      <c r="AY92" s="83">
        <f>LiabilityCF!AY6</f>
        <v>-8.3639122948036473</v>
      </c>
      <c r="AZ92" s="83">
        <f>LiabilityCF!AZ6</f>
        <v>-7.7714803144945206</v>
      </c>
      <c r="BA92" s="83">
        <f>LiabilityCF!BA6</f>
        <v>-7.2002819272481657</v>
      </c>
      <c r="BB92" s="83">
        <f>LiabilityCF!BB6</f>
        <v>-6.6496922663519289</v>
      </c>
      <c r="BC92" s="83">
        <f>LiabilityCF!BC6</f>
        <v>-6.1207492410584559</v>
      </c>
      <c r="BD92" s="83">
        <f>LiabilityCF!BD6</f>
        <v>-5.6168874815671694</v>
      </c>
      <c r="BE92" s="83">
        <f>LiabilityCF!BE6</f>
        <v>-5.1358093124344464</v>
      </c>
      <c r="BF92" s="83">
        <f>LiabilityCF!BF6</f>
        <v>-4.6786000184844836</v>
      </c>
      <c r="BG92" s="83">
        <f>LiabilityCF!BG6</f>
        <v>-4.2479833895771453</v>
      </c>
      <c r="BH92" s="83">
        <f>LiabilityCF!BH6</f>
        <v>-3.8417461601078444</v>
      </c>
      <c r="BI92" s="83">
        <f>LiabilityCF!BI6</f>
        <v>-3.4590192893860783</v>
      </c>
      <c r="BJ92" s="83">
        <f>LiabilityCF!BJ6</f>
        <v>-3.1015775133495973</v>
      </c>
      <c r="BK92" s="83">
        <f>LiabilityCF!BK6</f>
        <v>-2.7696299573211105</v>
      </c>
      <c r="BL92" s="83">
        <f>LiabilityCF!BL6</f>
        <v>-2.4616253988218006</v>
      </c>
      <c r="BM92" s="83">
        <f>LiabilityCF!BM6</f>
        <v>-2.179666969826707</v>
      </c>
      <c r="BN92" s="83">
        <f>LiabilityCF!BN6</f>
        <v>-1.9231132096197752</v>
      </c>
      <c r="BO92" s="83">
        <f>LiabilityCF!BO6</f>
        <v>-1.6925145896032543</v>
      </c>
      <c r="BP92" s="83">
        <f>LiabilityCF!BP6</f>
        <v>-1.485140988855185</v>
      </c>
      <c r="BQ92" s="83">
        <f>LiabilityCF!BQ6</f>
        <v>-1.3007375980631872</v>
      </c>
      <c r="BR92" s="83">
        <f>LiabilityCF!BR6</f>
        <v>-1.136374856731253</v>
      </c>
      <c r="BS92" s="83">
        <f>LiabilityCF!BS6</f>
        <v>-0.99558484011493686</v>
      </c>
      <c r="BT92" s="83">
        <f>LiabilityCF!BT6</f>
        <v>-0.87271562407406356</v>
      </c>
      <c r="BU92" s="83">
        <f>LiabilityCF!BU6</f>
        <v>-0.7676529322015273</v>
      </c>
      <c r="BV92" s="83">
        <f>LiabilityCF!BV6</f>
        <v>-0.67635744169853529</v>
      </c>
      <c r="BW92" s="83">
        <f>LiabilityCF!BW6</f>
        <v>-0.59711858952126229</v>
      </c>
      <c r="BX92" s="83">
        <f>LiabilityCF!BX6</f>
        <v>-0.52891987568412246</v>
      </c>
      <c r="BY92" s="83">
        <f>LiabilityCF!BY6</f>
        <v>-0.46885800661035643</v>
      </c>
      <c r="BZ92" s="83">
        <f>LiabilityCF!BZ6</f>
        <v>-0.41696724363086068</v>
      </c>
      <c r="CA92" s="83">
        <f>LiabilityCF!CA6</f>
        <v>-0.37091256685458124</v>
      </c>
      <c r="CB92" s="83">
        <f>LiabilityCF!CB6</f>
        <v>-0.33185497690924876</v>
      </c>
      <c r="CC92" s="83">
        <f>LiabilityCF!CC6</f>
        <v>-0.2983363218605804</v>
      </c>
      <c r="CD92" s="83">
        <f>LiabilityCF!CD6</f>
        <v>-0.27008303764338215</v>
      </c>
      <c r="CE92" s="83">
        <f>LiabilityCF!CE6</f>
        <v>-0.24666932021105945</v>
      </c>
      <c r="CF92" s="83">
        <f>LiabilityCF!CF6</f>
        <v>-0.22649569124005553</v>
      </c>
      <c r="CG92" s="83">
        <f>LiabilityCF!CG6</f>
        <v>-0.21023690896563735</v>
      </c>
      <c r="CH92" s="83">
        <f>LiabilityCF!CH6</f>
        <v>-0.19704696452105042</v>
      </c>
      <c r="CI92" s="83">
        <f>LiabilityCF!CI6</f>
        <v>-0.1853392726926216</v>
      </c>
      <c r="CJ92" s="83">
        <f>LiabilityCF!CJ6</f>
        <v>-0.17479598958916545</v>
      </c>
      <c r="CK92" s="83">
        <f>LiabilityCF!CK6</f>
        <v>-0.16408723748547152</v>
      </c>
      <c r="CL92" s="83">
        <f>LiabilityCF!CL6</f>
        <v>-0.15444349544546665</v>
      </c>
      <c r="CM92" s="83">
        <f>LiabilityCF!CM6</f>
        <v>-0.14374299214219083</v>
      </c>
      <c r="CN92" s="83">
        <f>LiabilityCF!CN6</f>
        <v>-0.13350061364561266</v>
      </c>
      <c r="CO92" s="83">
        <f>LiabilityCF!CO6</f>
        <v>-0.12327604861695879</v>
      </c>
      <c r="CP92" s="83">
        <f>LiabilityCF!CP6</f>
        <v>-0.11349213985179499</v>
      </c>
      <c r="CQ92" s="83">
        <f>LiabilityCF!CQ6</f>
        <v>-0.10253105290365891</v>
      </c>
      <c r="CR92" s="83">
        <f>LiabilityCF!CR6</f>
        <v>-9.2709296893591087E-2</v>
      </c>
      <c r="CS92" s="83">
        <f>LiabilityCF!CS6</f>
        <v>-8.1800176046886719E-2</v>
      </c>
      <c r="CT92" s="83">
        <f>LiabilityCF!CT6</f>
        <v>-7.1489285120966972E-2</v>
      </c>
      <c r="CU92" s="83">
        <f>LiabilityCF!CU6</f>
        <v>-6.196729308738267E-2</v>
      </c>
      <c r="CV92" s="83">
        <f>LiabilityCF!CV6</f>
        <v>-5.1374643088776172E-2</v>
      </c>
      <c r="CW92" s="83">
        <f>LiabilityCF!CW6</f>
        <v>-4.0918236838952002E-2</v>
      </c>
      <c r="CX92" s="83">
        <f>LiabilityCF!CX6</f>
        <v>-3.1996760269696022E-2</v>
      </c>
      <c r="CY92" s="83">
        <f>LiabilityCF!CY6</f>
        <v>-2.4998589124246007E-2</v>
      </c>
      <c r="CZ92" s="83">
        <f>LiabilityCF!CZ6</f>
        <v>-1.6862127193752487E-2</v>
      </c>
      <c r="DA92" s="83">
        <f>LiabilityCF!DA6</f>
        <v>-1.2257789482070236E-2</v>
      </c>
      <c r="DB92" s="83">
        <f>LiabilityCF!DB6</f>
        <v>-8.5171985205403419E-3</v>
      </c>
      <c r="DC92" s="83">
        <f>LiabilityCF!DC6</f>
        <v>-5.6031099939229095E-3</v>
      </c>
      <c r="DD92" s="83">
        <f>LiabilityCF!DD6</f>
        <v>-3.4482634847352992E-3</v>
      </c>
      <c r="DE92" s="83">
        <f>LiabilityCF!DE6</f>
        <v>-1.9535368240937833E-3</v>
      </c>
      <c r="DF92" s="83">
        <f>LiabilityCF!DF6</f>
        <v>-9.9777377031064489E-4</v>
      </c>
      <c r="DG92" s="83">
        <f>LiabilityCF!DG6</f>
        <v>-4.4570817877404928E-4</v>
      </c>
      <c r="DH92" s="83">
        <f>LiabilityCF!DH6</f>
        <v>-1.6718372318197581E-4</v>
      </c>
      <c r="DI92" s="83">
        <f>LiabilityCF!DI6</f>
        <v>-4.8880313881503213E-5</v>
      </c>
      <c r="DJ92" s="83">
        <f>LiabilityCF!DJ6</f>
        <v>-1.1231361529508233E-5</v>
      </c>
      <c r="DK92" s="83">
        <f>LiabilityCF!DK6</f>
        <v>-2.2120722401072802E-6</v>
      </c>
      <c r="DL92" s="83">
        <f>LiabilityCF!DL6</f>
        <v>-4.356586762527039E-7</v>
      </c>
      <c r="DM92" s="83">
        <f>LiabilityCF!DM6</f>
        <v>-8.5806207752732442E-8</v>
      </c>
      <c r="DN92" s="83">
        <f>LiabilityCF!DN6</f>
        <v>-1.6900186830666582E-8</v>
      </c>
      <c r="DO92" s="83">
        <f>LiabilityCF!DO6</f>
        <v>-3.3285933327035109E-9</v>
      </c>
      <c r="DP92" s="83">
        <f>LiabilityCF!DP6</f>
        <v>-6.5555111496315001E-10</v>
      </c>
      <c r="DQ92" s="83">
        <f>LiabilityCF!DQ6</f>
        <v>-1.2911107524270887E-10</v>
      </c>
      <c r="DR92" s="83">
        <f>LiabilityCF!DR6</f>
        <v>-2.5427533638454975E-11</v>
      </c>
      <c r="DS92" s="83">
        <f>LiabilityCF!DS6</f>
        <v>-5.0082693883439606E-12</v>
      </c>
      <c r="DT92" s="83">
        <f>LiabilityCF!DT6</f>
        <v>-9.8633612509295281E-13</v>
      </c>
      <c r="DU92" s="83">
        <f>LiabilityCF!DU6</f>
        <v>-1.9425226570675414E-13</v>
      </c>
      <c r="DV92" s="83">
        <f>LiabilityCF!DV6</f>
        <v>-3.8256779494556224E-14</v>
      </c>
      <c r="DW92" s="83">
        <f>LiabilityCF!DW6</f>
        <v>-7.5343940865882774E-15</v>
      </c>
      <c r="DX92" s="83">
        <f>LiabilityCF!DX6</f>
        <v>-1.4838569714207152E-15</v>
      </c>
      <c r="DY92" s="83">
        <f>LiabilityCF!DY6</f>
        <v>-2.9223884203073633E-16</v>
      </c>
      <c r="DZ92" s="83">
        <f>LiabilityCF!DZ6</f>
        <v>-5.7558781790356854E-17</v>
      </c>
      <c r="EA92" s="83">
        <f>LiabilityCF!EA6</f>
        <v>-1.1336592288377947E-17</v>
      </c>
      <c r="EB92" s="83">
        <f>LiabilityCF!EB6</f>
        <v>-2.2328784120546624E-18</v>
      </c>
      <c r="EC92" s="83">
        <f>LiabilityCF!EC6</f>
        <v>-4.3978940326408413E-19</v>
      </c>
      <c r="ED92" s="83">
        <f>LiabilityCF!ED6</f>
        <v>-8.6621450431047252E-20</v>
      </c>
      <c r="EE92" s="83">
        <f>LiabilityCF!EE6</f>
        <v>-1.7060663847796698E-20</v>
      </c>
      <c r="EF92" s="83">
        <f>LiabilityCF!EF6</f>
        <v>-3.3600221210027203E-21</v>
      </c>
      <c r="EG92" s="83">
        <f>LiabilityCF!EG6</f>
        <v>-6.6153183671723227E-22</v>
      </c>
      <c r="EH92" s="83">
        <f>LiabilityCF!EH6</f>
        <v>-1.3035432589940609E-22</v>
      </c>
      <c r="EI92" s="83">
        <f>LiabilityCF!EI6</f>
        <v>-2.5596823562925211E-23</v>
      </c>
      <c r="EJ92" s="83">
        <f>LiabilityCF!EJ6</f>
        <v>-4.8475206459240626E-24</v>
      </c>
      <c r="EK92" s="83">
        <f>LiabilityCF!EK6</f>
        <v>-5.4131070924097036E-25</v>
      </c>
      <c r="EL92" s="83">
        <f>LiabilityCF!EL6</f>
        <v>0</v>
      </c>
    </row>
    <row r="93" spans="1:142" s="2" customFormat="1">
      <c r="B93" s="51" t="s">
        <v>74</v>
      </c>
      <c r="C93" s="83"/>
      <c r="D93" s="83">
        <f>LiabilityCF!D7</f>
        <v>-0.24255396734405441</v>
      </c>
      <c r="E93" s="83">
        <f>LiabilityCF!E7</f>
        <v>-0.45382534791816292</v>
      </c>
      <c r="F93" s="83">
        <f>LiabilityCF!F7</f>
        <v>-0.43965134413191786</v>
      </c>
      <c r="G93" s="83">
        <f>LiabilityCF!G7</f>
        <v>-0.42016880116801331</v>
      </c>
      <c r="H93" s="83">
        <f>LiabilityCF!H7</f>
        <v>-1.4083587500990746</v>
      </c>
      <c r="I93" s="83">
        <f>LiabilityCF!I7</f>
        <v>-1.3674452333083278</v>
      </c>
      <c r="J93" s="83">
        <f>LiabilityCF!J7</f>
        <v>-1.3307479871042605</v>
      </c>
      <c r="K93" s="83">
        <f>LiabilityCF!K7</f>
        <v>-1.2970830138489058</v>
      </c>
      <c r="L93" s="83">
        <f>LiabilityCF!L7</f>
        <v>-1.263506582637711</v>
      </c>
      <c r="M93" s="83">
        <f>LiabilityCF!M7</f>
        <v>-1.2299969513700235</v>
      </c>
      <c r="N93" s="83">
        <f>LiabilityCF!N7</f>
        <v>-1.1965013692529136</v>
      </c>
      <c r="O93" s="83">
        <f>LiabilityCF!O7</f>
        <v>-1.1629886649143468</v>
      </c>
      <c r="P93" s="83">
        <f>LiabilityCF!P7</f>
        <v>-1.1294299860140493</v>
      </c>
      <c r="Q93" s="83">
        <f>LiabilityCF!Q7</f>
        <v>-1.0958020342041668</v>
      </c>
      <c r="R93" s="83">
        <f>LiabilityCF!R7</f>
        <v>-1.0620871329055568</v>
      </c>
      <c r="S93" s="83">
        <f>LiabilityCF!S7</f>
        <v>-1.0282743250701114</v>
      </c>
      <c r="T93" s="83">
        <f>LiabilityCF!T7</f>
        <v>-0.99436183529476629</v>
      </c>
      <c r="U93" s="83">
        <f>LiabilityCF!U7</f>
        <v>-0.96035568309240837</v>
      </c>
      <c r="V93" s="83">
        <f>LiabilityCF!V7</f>
        <v>-0.92627345275237394</v>
      </c>
      <c r="W93" s="83">
        <f>LiabilityCF!W7</f>
        <v>-0.89214192273578008</v>
      </c>
      <c r="X93" s="83">
        <f>LiabilityCF!X7</f>
        <v>-0.85799852628823203</v>
      </c>
      <c r="Y93" s="83">
        <f>LiabilityCF!Y7</f>
        <v>-0.82389070645403062</v>
      </c>
      <c r="Z93" s="83">
        <f>LiabilityCF!Z7</f>
        <v>-0.78987502300699008</v>
      </c>
      <c r="AA93" s="83">
        <f>LiabilityCF!AA7</f>
        <v>-0.75601539401500184</v>
      </c>
      <c r="AB93" s="83">
        <f>LiabilityCF!AB7</f>
        <v>-0.722380771602394</v>
      </c>
      <c r="AC93" s="83">
        <f>LiabilityCF!AC7</f>
        <v>-0.68904354157703562</v>
      </c>
      <c r="AD93" s="83">
        <f>LiabilityCF!AD7</f>
        <v>-0.65607728369565721</v>
      </c>
      <c r="AE93" s="83">
        <f>LiabilityCF!AE7</f>
        <v>-0.62355589649377929</v>
      </c>
      <c r="AF93" s="83">
        <f>LiabilityCF!AF7</f>
        <v>-0.59155209903705486</v>
      </c>
      <c r="AG93" s="83">
        <f>LiabilityCF!AG7</f>
        <v>-0.56558366167547414</v>
      </c>
      <c r="AH93" s="83">
        <f>LiabilityCF!AH7</f>
        <v>-0.53666971638385352</v>
      </c>
      <c r="AI93" s="83">
        <f>LiabilityCF!AI7</f>
        <v>-0.50568075988015748</v>
      </c>
      <c r="AJ93" s="83">
        <f>LiabilityCF!AJ7</f>
        <v>-0.47545269879300994</v>
      </c>
      <c r="AK93" s="83">
        <f>LiabilityCF!AK7</f>
        <v>-0.44677958129205436</v>
      </c>
      <c r="AL93" s="83">
        <f>LiabilityCF!AL7</f>
        <v>-0.41880335749987252</v>
      </c>
      <c r="AM93" s="83">
        <f>LiabilityCF!AM7</f>
        <v>-0.39204830930826029</v>
      </c>
      <c r="AN93" s="83">
        <f>LiabilityCF!AN7</f>
        <v>-0.36635832721823358</v>
      </c>
      <c r="AO93" s="83">
        <f>LiabilityCF!AO7</f>
        <v>-0.34128829117533444</v>
      </c>
      <c r="AP93" s="83">
        <f>LiabilityCF!AP7</f>
        <v>-0.31755850490652482</v>
      </c>
      <c r="AQ93" s="83">
        <f>LiabilityCF!AQ7</f>
        <v>-0.29530670498752781</v>
      </c>
      <c r="AR93" s="83">
        <f>LiabilityCF!AR7</f>
        <v>-0.27416983839957471</v>
      </c>
      <c r="AS93" s="83">
        <f>LiabilityCF!AS7</f>
        <v>-0.25439735102692157</v>
      </c>
      <c r="AT93" s="83">
        <f>LiabilityCF!AT7</f>
        <v>-0.23577089663096207</v>
      </c>
      <c r="AU93" s="83">
        <f>LiabilityCF!AU7</f>
        <v>-0.21822353381459358</v>
      </c>
      <c r="AV93" s="83">
        <f>LiabilityCF!AV7</f>
        <v>-0.20154914734945439</v>
      </c>
      <c r="AW93" s="83">
        <f>LiabilityCF!AW7</f>
        <v>-0.18603847030638762</v>
      </c>
      <c r="AX93" s="83">
        <f>LiabilityCF!AX7</f>
        <v>-0.17158216866887521</v>
      </c>
      <c r="AY93" s="83">
        <f>LiabilityCF!AY7</f>
        <v>-0.15792585859409264</v>
      </c>
      <c r="AZ93" s="83">
        <f>LiabilityCF!AZ7</f>
        <v>-0.145344393156288</v>
      </c>
      <c r="BA93" s="83">
        <f>LiabilityCF!BA7</f>
        <v>-0.1336493836524088</v>
      </c>
      <c r="BB93" s="83">
        <f>LiabilityCF!BB7</f>
        <v>-0.12280714566522649</v>
      </c>
      <c r="BC93" s="83">
        <f>LiabilityCF!BC7</f>
        <v>-0.11287727502510018</v>
      </c>
      <c r="BD93" s="83">
        <f>LiabilityCF!BD7</f>
        <v>-0.10369433464251344</v>
      </c>
      <c r="BE93" s="83">
        <f>LiabilityCF!BE7</f>
        <v>-9.529306553784489E-2</v>
      </c>
      <c r="BF93" s="83">
        <f>LiabilityCF!BF7</f>
        <v>-8.7479426395877899E-2</v>
      </c>
      <c r="BG93" s="83">
        <f>LiabilityCF!BG7</f>
        <v>-8.0442267878923349E-2</v>
      </c>
      <c r="BH93" s="83">
        <f>LiabilityCF!BH7</f>
        <v>-7.3951601202267431E-2</v>
      </c>
      <c r="BI93" s="83">
        <f>LiabilityCF!BI7</f>
        <v>-6.8114337698798544E-2</v>
      </c>
      <c r="BJ93" s="83">
        <f>LiabilityCF!BJ7</f>
        <v>-6.2756782611436496E-2</v>
      </c>
      <c r="BK93" s="83">
        <f>LiabilityCF!BK7</f>
        <v>-5.7821597708212769E-2</v>
      </c>
      <c r="BL93" s="83">
        <f>LiabilityCF!BL7</f>
        <v>-5.3421692075723642E-2</v>
      </c>
      <c r="BM93" s="83">
        <f>LiabilityCF!BM7</f>
        <v>-4.9381047563502124E-2</v>
      </c>
      <c r="BN93" s="83">
        <f>LiabilityCF!BN7</f>
        <v>-4.5783582981446982E-2</v>
      </c>
      <c r="BO93" s="83">
        <f>LiabilityCF!BO7</f>
        <v>-4.2530726503595684E-2</v>
      </c>
      <c r="BP93" s="83">
        <f>LiabilityCF!BP7</f>
        <v>-3.958682169820997E-2</v>
      </c>
      <c r="BQ93" s="83">
        <f>LiabilityCF!BQ7</f>
        <v>-3.6913160861461541E-2</v>
      </c>
      <c r="BR93" s="83">
        <f>LiabilityCF!BR7</f>
        <v>-3.4495779218781775E-2</v>
      </c>
      <c r="BS93" s="83">
        <f>LiabilityCF!BS7</f>
        <v>-3.2276403223149841E-2</v>
      </c>
      <c r="BT93" s="83">
        <f>LiabilityCF!BT7</f>
        <v>-3.0210017919350726E-2</v>
      </c>
      <c r="BU93" s="83">
        <f>LiabilityCF!BU7</f>
        <v>-2.830649849092123E-2</v>
      </c>
      <c r="BV93" s="83">
        <f>LiabilityCF!BV7</f>
        <v>-2.6542696559337477E-2</v>
      </c>
      <c r="BW93" s="83">
        <f>LiabilityCF!BW7</f>
        <v>-2.4887429788649246E-2</v>
      </c>
      <c r="BX93" s="83">
        <f>LiabilityCF!BX7</f>
        <v>-2.3326399065214394E-2</v>
      </c>
      <c r="BY93" s="83">
        <f>LiabilityCF!BY7</f>
        <v>-2.1840254578345982E-2</v>
      </c>
      <c r="BZ93" s="83">
        <f>LiabilityCF!BZ7</f>
        <v>-2.0430393248054093E-2</v>
      </c>
      <c r="CA93" s="83">
        <f>LiabilityCF!CA7</f>
        <v>-1.9085318708875924E-2</v>
      </c>
      <c r="CB93" s="83">
        <f>LiabilityCF!CB7</f>
        <v>-1.7791470599374165E-2</v>
      </c>
      <c r="CC93" s="83">
        <f>LiabilityCF!CC7</f>
        <v>-1.6541253895128099E-2</v>
      </c>
      <c r="CD93" s="83">
        <f>LiabilityCF!CD7</f>
        <v>-1.5328504660680921E-2</v>
      </c>
      <c r="CE93" s="83">
        <f>LiabilityCF!CE7</f>
        <v>-1.4148782301340573E-2</v>
      </c>
      <c r="CF93" s="83">
        <f>LiabilityCF!CF7</f>
        <v>-1.2999398960167425E-2</v>
      </c>
      <c r="CG93" s="83">
        <f>LiabilityCF!CG7</f>
        <v>-1.1879826523007691E-2</v>
      </c>
      <c r="CH93" s="83">
        <f>LiabilityCF!CH7</f>
        <v>-1.0791439636539505E-2</v>
      </c>
      <c r="CI93" s="83">
        <f>LiabilityCF!CI7</f>
        <v>-9.7371232463484524E-3</v>
      </c>
      <c r="CJ93" s="83">
        <f>LiabilityCF!CJ7</f>
        <v>-8.7208731577140819E-3</v>
      </c>
      <c r="CK93" s="83">
        <f>LiabilityCF!CK7</f>
        <v>-7.7473213120025581E-3</v>
      </c>
      <c r="CL93" s="83">
        <f>LiabilityCF!CL7</f>
        <v>-6.821305202786055E-3</v>
      </c>
      <c r="CM93" s="83">
        <f>LiabilityCF!CM7</f>
        <v>-5.9476410030651289E-3</v>
      </c>
      <c r="CN93" s="83">
        <f>LiabilityCF!CN7</f>
        <v>-5.1309101989957572E-3</v>
      </c>
      <c r="CO93" s="83">
        <f>LiabilityCF!CO7</f>
        <v>-4.3752569282295367E-3</v>
      </c>
      <c r="CP93" s="83">
        <f>LiabilityCF!CP7</f>
        <v>-3.6841630575698107E-3</v>
      </c>
      <c r="CQ93" s="83">
        <f>LiabilityCF!CQ7</f>
        <v>-3.0602304708610456E-3</v>
      </c>
      <c r="CR93" s="83">
        <f>LiabilityCF!CR7</f>
        <v>-2.5049634346598765E-3</v>
      </c>
      <c r="CS93" s="83">
        <f>LiabilityCF!CS7</f>
        <v>-2.0185276842968839E-3</v>
      </c>
      <c r="CT93" s="83">
        <f>LiabilityCF!CT7</f>
        <v>-1.5996046515614837E-3</v>
      </c>
      <c r="CU93" s="83">
        <f>LiabilityCF!CU7</f>
        <v>-1.2452823618082031E-3</v>
      </c>
      <c r="CV93" s="83">
        <f>LiabilityCF!CV7</f>
        <v>-9.5116584453437767E-4</v>
      </c>
      <c r="CW93" s="83">
        <f>LiabilityCF!CW7</f>
        <v>-7.1161987184661598E-4</v>
      </c>
      <c r="CX93" s="83">
        <f>LiabilityCF!CX7</f>
        <v>-5.2021347978850087E-4</v>
      </c>
      <c r="CY93" s="83">
        <f>LiabilityCF!CY7</f>
        <v>-3.7024087888186012E-4</v>
      </c>
      <c r="CZ93" s="83">
        <f>LiabilityCF!CZ7</f>
        <v>-2.5520467258085188E-4</v>
      </c>
      <c r="DA93" s="83">
        <f>LiabilityCF!DA7</f>
        <v>-1.6917233361199134E-4</v>
      </c>
      <c r="DB93" s="83">
        <f>LiabilityCF!DB7</f>
        <v>-1.0685576471893259E-4</v>
      </c>
      <c r="DC93" s="83">
        <f>LiabilityCF!DC7</f>
        <v>-6.356106824012496E-5</v>
      </c>
      <c r="DD93" s="83">
        <f>LiabilityCF!DD7</f>
        <v>-3.509608936101846E-5</v>
      </c>
      <c r="DE93" s="83">
        <f>LiabilityCF!DE7</f>
        <v>-1.7658521938663689E-5</v>
      </c>
      <c r="DF93" s="83">
        <f>LiabilityCF!DF7</f>
        <v>-7.8969133386390097E-6</v>
      </c>
      <c r="DG93" s="83">
        <f>LiabilityCF!DG7</f>
        <v>-3.0288392009429616E-6</v>
      </c>
      <c r="DH93" s="83">
        <f>LiabilityCF!DH7</f>
        <v>-9.4573512552045785E-7</v>
      </c>
      <c r="DI93" s="83">
        <f>LiabilityCF!DI7</f>
        <v>-2.1929322164456649E-7</v>
      </c>
      <c r="DJ93" s="83">
        <f>LiabilityCF!DJ7</f>
        <v>-4.2983157626859738E-8</v>
      </c>
      <c r="DK93" s="83">
        <f>LiabilityCF!DK7</f>
        <v>-8.4250173647739097E-9</v>
      </c>
      <c r="DL93" s="83">
        <f>LiabilityCF!DL7</f>
        <v>-1.6513634669638407E-9</v>
      </c>
      <c r="DM93" s="83">
        <f>LiabilityCF!DM7</f>
        <v>-3.2367855001312923E-10</v>
      </c>
      <c r="DN93" s="83">
        <f>LiabilityCF!DN7</f>
        <v>-6.3443122106102013E-11</v>
      </c>
      <c r="DO93" s="83">
        <f>LiabilityCF!DO7</f>
        <v>-1.2435250938246613E-11</v>
      </c>
      <c r="DP93" s="83">
        <f>LiabilityCF!DP7</f>
        <v>-2.4373839096153374E-12</v>
      </c>
      <c r="DQ93" s="83">
        <f>LiabilityCF!DQ7</f>
        <v>-4.777412105090906E-13</v>
      </c>
      <c r="DR93" s="83">
        <f>LiabilityCF!DR7</f>
        <v>-9.3639880560592468E-14</v>
      </c>
      <c r="DS93" s="83">
        <f>LiabilityCF!DS7</f>
        <v>-1.8353900631912519E-14</v>
      </c>
      <c r="DT93" s="83">
        <f>LiabilityCF!DT7</f>
        <v>-3.5974542595134205E-15</v>
      </c>
      <c r="DU93" s="83">
        <f>LiabilityCF!DU7</f>
        <v>-7.0511761620596139E-16</v>
      </c>
      <c r="DV93" s="83">
        <f>LiabilityCF!DV7</f>
        <v>-1.3820610536269472E-16</v>
      </c>
      <c r="DW93" s="83">
        <f>LiabilityCF!DW7</f>
        <v>-2.7088956273014798E-17</v>
      </c>
      <c r="DX93" s="83">
        <f>LiabilityCF!DX7</f>
        <v>-5.3095375324741467E-18</v>
      </c>
      <c r="DY93" s="83">
        <f>LiabilityCF!DY7</f>
        <v>-1.0406878820115312E-18</v>
      </c>
      <c r="DZ93" s="83">
        <f>LiabilityCF!DZ7</f>
        <v>-2.0397816407101354E-19</v>
      </c>
      <c r="EA93" s="83">
        <f>LiabilityCF!EA7</f>
        <v>-3.9980317229511085E-20</v>
      </c>
      <c r="EB93" s="83">
        <f>LiabilityCF!EB7</f>
        <v>-7.8362462853228606E-21</v>
      </c>
      <c r="EC93" s="83">
        <f>LiabilityCF!EC7</f>
        <v>-1.5359203047518684E-21</v>
      </c>
      <c r="ED93" s="83">
        <f>LiabilityCF!ED7</f>
        <v>-3.0104251594236262E-22</v>
      </c>
      <c r="EE93" s="83">
        <f>LiabilityCF!EE7</f>
        <v>-5.9004300004796295E-23</v>
      </c>
      <c r="EF93" s="83">
        <f>LiabilityCF!EF7</f>
        <v>-1.156451511142706E-23</v>
      </c>
      <c r="EG93" s="83">
        <f>LiabilityCF!EG7</f>
        <v>-2.2660945032794196E-24</v>
      </c>
      <c r="EH93" s="83">
        <f>LiabilityCF!EH7</f>
        <v>-4.4370492394516606E-25</v>
      </c>
      <c r="EI93" s="83">
        <f>LiabilityCF!EI7</f>
        <v>-8.6387323599283466E-26</v>
      </c>
      <c r="EJ93" s="83">
        <f>LiabilityCF!EJ7</f>
        <v>-1.6772434539405648E-26</v>
      </c>
      <c r="EK93" s="83">
        <f>LiabilityCF!EK7</f>
        <v>-1.6336317672791905E-27</v>
      </c>
      <c r="EL93" s="83">
        <f>LiabilityCF!EL7</f>
        <v>0</v>
      </c>
    </row>
    <row r="94" spans="1:142" s="2" customFormat="1">
      <c r="B94" s="51" t="s">
        <v>73</v>
      </c>
      <c r="C94" s="83"/>
      <c r="D94" s="83">
        <f>LiabilityCF!D8</f>
        <v>-8.0589247991393678E-2</v>
      </c>
      <c r="E94" s="83">
        <f>LiabilityCF!E8</f>
        <v>-0.26147820484309392</v>
      </c>
      <c r="F94" s="83">
        <f>LiabilityCF!F8</f>
        <v>-0.62631890989850658</v>
      </c>
      <c r="G94" s="83">
        <f>LiabilityCF!G8</f>
        <v>-1.8656561567785397</v>
      </c>
      <c r="H94" s="83">
        <f>LiabilityCF!H8</f>
        <v>-5.5287107601646781</v>
      </c>
      <c r="I94" s="83">
        <f>LiabilityCF!I8</f>
        <v>-10.494270814321021</v>
      </c>
      <c r="J94" s="83">
        <f>LiabilityCF!J8</f>
        <v>-13.551516587683105</v>
      </c>
      <c r="K94" s="83">
        <f>LiabilityCF!K8</f>
        <v>-13.726686281876395</v>
      </c>
      <c r="L94" s="83">
        <f>LiabilityCF!L8</f>
        <v>-12.661872088458104</v>
      </c>
      <c r="M94" s="83">
        <f>LiabilityCF!M8</f>
        <v>-10.249601184608043</v>
      </c>
      <c r="N94" s="83">
        <f>LiabilityCF!N8</f>
        <v>-8.6241743889238389</v>
      </c>
      <c r="O94" s="83">
        <f>LiabilityCF!O8</f>
        <v>-8.4360078399550851</v>
      </c>
      <c r="P94" s="83">
        <f>LiabilityCF!P8</f>
        <v>-9.1621715797281702</v>
      </c>
      <c r="Q94" s="83">
        <f>LiabilityCF!Q8</f>
        <v>-10.229492065950856</v>
      </c>
      <c r="R94" s="83">
        <f>LiabilityCF!R8</f>
        <v>-11.42992690828072</v>
      </c>
      <c r="S94" s="83">
        <f>LiabilityCF!S8</f>
        <v>-12.775823068942037</v>
      </c>
      <c r="T94" s="83">
        <f>LiabilityCF!T8</f>
        <v>-14.262620623910212</v>
      </c>
      <c r="U94" s="83">
        <f>LiabilityCF!U8</f>
        <v>-15.8494131263248</v>
      </c>
      <c r="V94" s="83">
        <f>LiabilityCF!V8</f>
        <v>-17.541348451820436</v>
      </c>
      <c r="W94" s="83">
        <f>LiabilityCF!W8</f>
        <v>-19.37448053808459</v>
      </c>
      <c r="X94" s="83">
        <f>LiabilityCF!X8</f>
        <v>-21.339712329455661</v>
      </c>
      <c r="Y94" s="83">
        <f>LiabilityCF!Y8</f>
        <v>-23.465403913035971</v>
      </c>
      <c r="Z94" s="83">
        <f>LiabilityCF!Z8</f>
        <v>-25.652295901519437</v>
      </c>
      <c r="AA94" s="83">
        <f>LiabilityCF!AA8</f>
        <v>-27.867807082657848</v>
      </c>
      <c r="AB94" s="83">
        <f>LiabilityCF!AB8</f>
        <v>-30.144116897180677</v>
      </c>
      <c r="AC94" s="83">
        <f>LiabilityCF!AC8</f>
        <v>-32.482515465627465</v>
      </c>
      <c r="AD94" s="83">
        <f>LiabilityCF!AD8</f>
        <v>-34.88651925655995</v>
      </c>
      <c r="AE94" s="83">
        <f>LiabilityCF!AE8</f>
        <v>-37.166725714385379</v>
      </c>
      <c r="AF94" s="83">
        <f>LiabilityCF!AF8</f>
        <v>-39.328915857748768</v>
      </c>
      <c r="AG94" s="83">
        <f>LiabilityCF!AG8</f>
        <v>-41.462092524761317</v>
      </c>
      <c r="AH94" s="83">
        <f>LiabilityCF!AH8</f>
        <v>-43.565954950042133</v>
      </c>
      <c r="AI94" s="83">
        <f>LiabilityCF!AI8</f>
        <v>-45.770807658930828</v>
      </c>
      <c r="AJ94" s="83">
        <f>LiabilityCF!AJ8</f>
        <v>-47.833128671713943</v>
      </c>
      <c r="AK94" s="83">
        <f>LiabilityCF!AK8</f>
        <v>-49.70852537092906</v>
      </c>
      <c r="AL94" s="83">
        <f>LiabilityCF!AL8</f>
        <v>-51.461467477656747</v>
      </c>
      <c r="AM94" s="83">
        <f>LiabilityCF!AM8</f>
        <v>-53.07158316833479</v>
      </c>
      <c r="AN94" s="83">
        <f>LiabilityCF!AN8</f>
        <v>-54.503796348276225</v>
      </c>
      <c r="AO94" s="83">
        <f>LiabilityCF!AO8</f>
        <v>-55.815462189477223</v>
      </c>
      <c r="AP94" s="83">
        <f>LiabilityCF!AP8</f>
        <v>-56.987506358197038</v>
      </c>
      <c r="AQ94" s="83">
        <f>LiabilityCF!AQ8</f>
        <v>-57.909608129878528</v>
      </c>
      <c r="AR94" s="83">
        <f>LiabilityCF!AR8</f>
        <v>-58.557091652735707</v>
      </c>
      <c r="AS94" s="83">
        <f>LiabilityCF!AS8</f>
        <v>-58.886316817782586</v>
      </c>
      <c r="AT94" s="83">
        <f>LiabilityCF!AT8</f>
        <v>-58.993713462429724</v>
      </c>
      <c r="AU94" s="83">
        <f>LiabilityCF!AU8</f>
        <v>-58.863347404814377</v>
      </c>
      <c r="AV94" s="83">
        <f>LiabilityCF!AV8</f>
        <v>-58.502418766617403</v>
      </c>
      <c r="AW94" s="83">
        <f>LiabilityCF!AW8</f>
        <v>-57.961854831129379</v>
      </c>
      <c r="AX94" s="83">
        <f>LiabilityCF!AX8</f>
        <v>-57.214689915709982</v>
      </c>
      <c r="AY94" s="83">
        <f>LiabilityCF!AY8</f>
        <v>-56.338596615197687</v>
      </c>
      <c r="AZ94" s="83">
        <f>LiabilityCF!AZ8</f>
        <v>-55.387686061880274</v>
      </c>
      <c r="BA94" s="83">
        <f>LiabilityCF!BA8</f>
        <v>-54.323103082870347</v>
      </c>
      <c r="BB94" s="83">
        <f>LiabilityCF!BB8</f>
        <v>-53.164964198555715</v>
      </c>
      <c r="BC94" s="83">
        <f>LiabilityCF!BC8</f>
        <v>-51.809284145928991</v>
      </c>
      <c r="BD94" s="83">
        <f>LiabilityCF!BD8</f>
        <v>-50.336890538092518</v>
      </c>
      <c r="BE94" s="83">
        <f>LiabilityCF!BE8</f>
        <v>-48.752098517555787</v>
      </c>
      <c r="BF94" s="83">
        <f>LiabilityCF!BF8</f>
        <v>-47.016295107831468</v>
      </c>
      <c r="BG94" s="83">
        <f>LiabilityCF!BG8</f>
        <v>-45.212832697391761</v>
      </c>
      <c r="BH94" s="83">
        <f>LiabilityCF!BH8</f>
        <v>-43.315102551025284</v>
      </c>
      <c r="BI94" s="83">
        <f>LiabilityCF!BI8</f>
        <v>-41.366758435341261</v>
      </c>
      <c r="BJ94" s="83">
        <f>LiabilityCF!BJ8</f>
        <v>-39.420482901316106</v>
      </c>
      <c r="BK94" s="83">
        <f>LiabilityCF!BK8</f>
        <v>-37.46978965842294</v>
      </c>
      <c r="BL94" s="83">
        <f>LiabilityCF!BL8</f>
        <v>-35.487002888677424</v>
      </c>
      <c r="BM94" s="83">
        <f>LiabilityCF!BM8</f>
        <v>-33.468302579575706</v>
      </c>
      <c r="BN94" s="83">
        <f>LiabilityCF!BN8</f>
        <v>-31.471810341363906</v>
      </c>
      <c r="BO94" s="83">
        <f>LiabilityCF!BO8</f>
        <v>-29.545367792274995</v>
      </c>
      <c r="BP94" s="83">
        <f>LiabilityCF!BP8</f>
        <v>-27.668464724397275</v>
      </c>
      <c r="BQ94" s="83">
        <f>LiabilityCF!BQ8</f>
        <v>-25.916198288725997</v>
      </c>
      <c r="BR94" s="83">
        <f>LiabilityCF!BR8</f>
        <v>-24.268238457479519</v>
      </c>
      <c r="BS94" s="83">
        <f>LiabilityCF!BS8</f>
        <v>-22.790111213000067</v>
      </c>
      <c r="BT94" s="83">
        <f>LiabilityCF!BT8</f>
        <v>-21.423183271593977</v>
      </c>
      <c r="BU94" s="83">
        <f>LiabilityCF!BU8</f>
        <v>-20.232668144461009</v>
      </c>
      <c r="BV94" s="83">
        <f>LiabilityCF!BV8</f>
        <v>-19.161187992088539</v>
      </c>
      <c r="BW94" s="83">
        <f>LiabilityCF!BW8</f>
        <v>-18.195806707485069</v>
      </c>
      <c r="BX94" s="83">
        <f>LiabilityCF!BX8</f>
        <v>-17.362671158023385</v>
      </c>
      <c r="BY94" s="83">
        <f>LiabilityCF!BY8</f>
        <v>-16.621789571324868</v>
      </c>
      <c r="BZ94" s="83">
        <f>LiabilityCF!BZ8</f>
        <v>-15.995761446042412</v>
      </c>
      <c r="CA94" s="83">
        <f>LiabilityCF!CA8</f>
        <v>-15.474168936018447</v>
      </c>
      <c r="CB94" s="83">
        <f>LiabilityCF!CB8</f>
        <v>-15.031413004539369</v>
      </c>
      <c r="CC94" s="83">
        <f>LiabilityCF!CC8</f>
        <v>-14.686419448399631</v>
      </c>
      <c r="CD94" s="83">
        <f>LiabilityCF!CD8</f>
        <v>-14.461511778247994</v>
      </c>
      <c r="CE94" s="83">
        <f>LiabilityCF!CE8</f>
        <v>-14.377892331386752</v>
      </c>
      <c r="CF94" s="83">
        <f>LiabilityCF!CF8</f>
        <v>-14.390007057651868</v>
      </c>
      <c r="CG94" s="83">
        <f>LiabilityCF!CG8</f>
        <v>-14.511525153502371</v>
      </c>
      <c r="CH94" s="83">
        <f>LiabilityCF!CH8</f>
        <v>-14.696628680331953</v>
      </c>
      <c r="CI94" s="83">
        <f>LiabilityCF!CI8</f>
        <v>-14.929045930751045</v>
      </c>
      <c r="CJ94" s="83">
        <f>LiabilityCF!CJ8</f>
        <v>-15.167930024989682</v>
      </c>
      <c r="CK94" s="83">
        <f>LiabilityCF!CK8</f>
        <v>-15.406993830402925</v>
      </c>
      <c r="CL94" s="83">
        <f>LiabilityCF!CL8</f>
        <v>-15.599884103363989</v>
      </c>
      <c r="CM94" s="83">
        <f>LiabilityCF!CM8</f>
        <v>-15.674043078753719</v>
      </c>
      <c r="CN94" s="83">
        <f>LiabilityCF!CN8</f>
        <v>-15.711190399446581</v>
      </c>
      <c r="CO94" s="83">
        <f>LiabilityCF!CO8</f>
        <v>-15.591887333318272</v>
      </c>
      <c r="CP94" s="83">
        <f>LiabilityCF!CP8</f>
        <v>-15.439889292644725</v>
      </c>
      <c r="CQ94" s="83">
        <f>LiabilityCF!CQ8</f>
        <v>-15.026742068015199</v>
      </c>
      <c r="CR94" s="83">
        <f>LiabilityCF!CR8</f>
        <v>-14.565689102128847</v>
      </c>
      <c r="CS94" s="83">
        <f>LiabilityCF!CS8</f>
        <v>-13.906547622616467</v>
      </c>
      <c r="CT94" s="83">
        <f>LiabilityCF!CT8</f>
        <v>-13.130703488646938</v>
      </c>
      <c r="CU94" s="83">
        <f>LiabilityCF!CU8</f>
        <v>-12.275881746566252</v>
      </c>
      <c r="CV94" s="83">
        <f>LiabilityCF!CV8</f>
        <v>-11.17221797716995</v>
      </c>
      <c r="CW94" s="83">
        <f>LiabilityCF!CW8</f>
        <v>-9.8683555177829234</v>
      </c>
      <c r="CX94" s="83">
        <f>LiabilityCF!CX8</f>
        <v>-8.52637972886974</v>
      </c>
      <c r="CY94" s="83">
        <f>LiabilityCF!CY8</f>
        <v>-7.2832526668177442</v>
      </c>
      <c r="CZ94" s="83">
        <f>LiabilityCF!CZ8</f>
        <v>-5.7356629331802367</v>
      </c>
      <c r="DA94" s="83">
        <f>LiabilityCF!DA8</f>
        <v>-4.5215362956132186</v>
      </c>
      <c r="DB94" s="83">
        <f>LiabilityCF!DB8</f>
        <v>-3.4089515824464236</v>
      </c>
      <c r="DC94" s="83">
        <f>LiabilityCF!DC8</f>
        <v>-2.4345234484634375</v>
      </c>
      <c r="DD94" s="83">
        <f>LiabilityCF!DD8</f>
        <v>-1.6269962826658473</v>
      </c>
      <c r="DE94" s="83">
        <f>LiabilityCF!DE8</f>
        <v>-0.9999016968876453</v>
      </c>
      <c r="DF94" s="83">
        <f>LiabilityCF!DF8</f>
        <v>-0.5535077193578114</v>
      </c>
      <c r="DG94" s="83">
        <f>LiabilityCF!DG8</f>
        <v>-0.26788348843476256</v>
      </c>
      <c r="DH94" s="83">
        <f>LiabilityCF!DH8</f>
        <v>-0.10895040868743371</v>
      </c>
      <c r="DI94" s="83">
        <f>LiabilityCF!DI8</f>
        <v>-3.4185576367812519E-2</v>
      </c>
      <c r="DJ94" s="83">
        <f>LiabilityCF!DJ8</f>
        <v>-8.4413809987509397E-3</v>
      </c>
      <c r="DK94" s="83">
        <f>LiabilityCF!DK8</f>
        <v>-1.7724291754053327E-3</v>
      </c>
      <c r="DL94" s="83">
        <f>LiabilityCF!DL8</f>
        <v>-3.7209900589224337E-4</v>
      </c>
      <c r="DM94" s="83">
        <f>LiabilityCF!DM8</f>
        <v>-7.8123998822070284E-5</v>
      </c>
      <c r="DN94" s="83">
        <f>LiabilityCF!DN8</f>
        <v>-1.6408963124084662E-5</v>
      </c>
      <c r="DO94" s="83">
        <f>LiabilityCF!DO8</f>
        <v>-3.4466254044903245E-6</v>
      </c>
      <c r="DP94" s="83">
        <f>LiabilityCF!DP8</f>
        <v>-7.2414843028495428E-7</v>
      </c>
      <c r="DQ94" s="83">
        <f>LiabilityCF!DQ8</f>
        <v>-1.5243835961386403E-7</v>
      </c>
      <c r="DR94" s="83">
        <f>LiabilityCF!DR8</f>
        <v>-3.2092926114671384E-8</v>
      </c>
      <c r="DS94" s="83">
        <f>LiabilityCF!DS8</f>
        <v>-6.7594045421329551E-9</v>
      </c>
      <c r="DT94" s="83">
        <f>LiabilityCF!DT8</f>
        <v>-1.4249739832825747E-9</v>
      </c>
      <c r="DU94" s="83">
        <f>LiabilityCF!DU8</f>
        <v>-2.9904963253596554E-10</v>
      </c>
      <c r="DV94" s="83">
        <f>LiabilityCF!DV8</f>
        <v>-6.2760480070793611E-11</v>
      </c>
      <c r="DW94" s="83">
        <f>LiabilityCF!DW8</f>
        <v>-1.3171112921114303E-11</v>
      </c>
      <c r="DX94" s="83">
        <f>LiabilityCF!DX8</f>
        <v>-2.7641978146235009E-12</v>
      </c>
      <c r="DY94" s="83">
        <f>LiabilityCF!DY8</f>
        <v>-5.8013117897167393E-13</v>
      </c>
      <c r="DZ94" s="83">
        <f>LiabilityCF!DZ8</f>
        <v>-1.2175758662432388E-13</v>
      </c>
      <c r="EA94" s="83">
        <f>LiabilityCF!EA8</f>
        <v>-2.5555949950274633E-14</v>
      </c>
      <c r="EB94" s="83">
        <f>LiabilityCF!EB8</f>
        <v>-5.3639340722197075E-15</v>
      </c>
      <c r="EC94" s="83">
        <f>LiabilityCF!EC8</f>
        <v>-1.1259155531956664E-15</v>
      </c>
      <c r="ED94" s="83">
        <f>LiabilityCF!ED8</f>
        <v>-2.3633775302324323E-16</v>
      </c>
      <c r="EE94" s="83">
        <f>LiabilityCF!EE8</f>
        <v>-4.9606823936213709E-17</v>
      </c>
      <c r="EF94" s="83">
        <f>LiabilityCF!EF8</f>
        <v>-1.0413098996748367E-17</v>
      </c>
      <c r="EG94" s="83">
        <f>LiabilityCF!EG8</f>
        <v>-2.1854197183354649E-18</v>
      </c>
      <c r="EH94" s="83">
        <f>LiabilityCF!EH8</f>
        <v>-4.5917702752245554E-19</v>
      </c>
      <c r="EI94" s="83">
        <f>LiabilityCF!EI8</f>
        <v>-9.6219558201204763E-20</v>
      </c>
      <c r="EJ94" s="83">
        <f>LiabilityCF!EJ8</f>
        <v>-2.0762141104800055E-20</v>
      </c>
      <c r="EK94" s="83">
        <f>LiabilityCF!EK8</f>
        <v>-3.1574233760226866E-21</v>
      </c>
      <c r="EL94" s="83">
        <f>LiabilityCF!EL8</f>
        <v>0</v>
      </c>
    </row>
    <row r="95" spans="1:142" s="2" customFormat="1">
      <c r="B95" s="51" t="s">
        <v>72</v>
      </c>
      <c r="C95" s="83"/>
      <c r="D95" s="84">
        <f ca="1">C98*C$51+SUM(D91:D94,D96)*((1+C$51)^0.5-1)</f>
        <v>27.062270026409138</v>
      </c>
      <c r="E95" s="84">
        <f ca="1">D98*D$51+SUM(E91:E94,E96)*((1+D$51)^0.5-1)</f>
        <v>37.058768801202966</v>
      </c>
      <c r="F95" s="84">
        <f t="shared" ref="F95:AI95" ca="1" si="76">E98*E$51+SUM(F91:F94,F96)*((1+E$51)^0.5-1)</f>
        <v>45.113308020405363</v>
      </c>
      <c r="G95" s="84">
        <f t="shared" ca="1" si="76"/>
        <v>51.144507579402323</v>
      </c>
      <c r="H95" s="84">
        <f t="shared" ca="1" si="76"/>
        <v>54.980593039745521</v>
      </c>
      <c r="I95" s="84">
        <f t="shared" ca="1" si="76"/>
        <v>55.404680209084461</v>
      </c>
      <c r="J95" s="84">
        <f t="shared" ca="1" si="76"/>
        <v>55.283867786241117</v>
      </c>
      <c r="K95" s="84">
        <f t="shared" ca="1" si="76"/>
        <v>54.847258332018534</v>
      </c>
      <c r="L95" s="84">
        <f t="shared" ca="1" si="76"/>
        <v>54.877339943562632</v>
      </c>
      <c r="M95" s="84">
        <f t="shared" ca="1" si="76"/>
        <v>56.083555575175659</v>
      </c>
      <c r="N95" s="84">
        <f t="shared" ca="1" si="76"/>
        <v>57.604255415813824</v>
      </c>
      <c r="O95" s="84">
        <f t="shared" ca="1" si="76"/>
        <v>59.839408393674624</v>
      </c>
      <c r="P95" s="84">
        <f t="shared" ca="1" si="76"/>
        <v>62.377366800159571</v>
      </c>
      <c r="Q95" s="84">
        <f t="shared" ca="1" si="76"/>
        <v>64.993934624483572</v>
      </c>
      <c r="R95" s="84">
        <f t="shared" ca="1" si="76"/>
        <v>67.66476869952686</v>
      </c>
      <c r="S95" s="84">
        <f t="shared" ca="1" si="76"/>
        <v>70.372252386067572</v>
      </c>
      <c r="T95" s="84">
        <f t="shared" ca="1" si="76"/>
        <v>72.948389805041074</v>
      </c>
      <c r="U95" s="84">
        <f t="shared" ca="1" si="76"/>
        <v>75.435311346419965</v>
      </c>
      <c r="V95" s="84">
        <f t="shared" ca="1" si="76"/>
        <v>77.939187670125179</v>
      </c>
      <c r="W95" s="84">
        <f t="shared" ca="1" si="76"/>
        <v>80.441715051794546</v>
      </c>
      <c r="X95" s="84">
        <f t="shared" ca="1" si="76"/>
        <v>82.927090111512143</v>
      </c>
      <c r="Y95" s="84">
        <f t="shared" ca="1" si="76"/>
        <v>85.390292525724234</v>
      </c>
      <c r="Z95" s="84">
        <f t="shared" ca="1" si="76"/>
        <v>87.864234352548237</v>
      </c>
      <c r="AA95" s="84">
        <f t="shared" ca="1" si="76"/>
        <v>90.342769152849769</v>
      </c>
      <c r="AB95" s="84">
        <f t="shared" ca="1" si="76"/>
        <v>92.834721387740984</v>
      </c>
      <c r="AC95" s="84">
        <f t="shared" ca="1" si="76"/>
        <v>95.293209012772053</v>
      </c>
      <c r="AD95" s="84">
        <f t="shared" ca="1" si="76"/>
        <v>97.750001938462859</v>
      </c>
      <c r="AE95" s="84">
        <f t="shared" ca="1" si="76"/>
        <v>100.20416181959523</v>
      </c>
      <c r="AF95" s="84">
        <f t="shared" ca="1" si="76"/>
        <v>102.65614049894371</v>
      </c>
      <c r="AG95" s="84">
        <f t="shared" ca="1" si="76"/>
        <v>105.13439370714619</v>
      </c>
      <c r="AH95" s="84">
        <f t="shared" ca="1" si="76"/>
        <v>107.71279149842788</v>
      </c>
      <c r="AI95" s="84">
        <f t="shared" ca="1" si="76"/>
        <v>110.23828560688868</v>
      </c>
      <c r="AJ95" s="84">
        <f t="shared" ref="AJ95:BO95" ca="1" si="77">AI98*AI$51+SUM(AJ91:AJ94,AJ96)*((1+AI$51)^0.5-1)</f>
        <v>113.07322224466637</v>
      </c>
      <c r="AK95" s="84">
        <f t="shared" ca="1" si="77"/>
        <v>115.98946198052597</v>
      </c>
      <c r="AL95" s="84">
        <f t="shared" ca="1" si="77"/>
        <v>119.00910317731837</v>
      </c>
      <c r="AM95" s="84">
        <f t="shared" ca="1" si="77"/>
        <v>122.15391448866491</v>
      </c>
      <c r="AN95" s="84">
        <f t="shared" ca="1" si="77"/>
        <v>125.46031634764132</v>
      </c>
      <c r="AO95" s="84">
        <f t="shared" ca="1" si="77"/>
        <v>128.93408288504006</v>
      </c>
      <c r="AP95" s="84">
        <f t="shared" ca="1" si="77"/>
        <v>132.60953444566184</v>
      </c>
      <c r="AQ95" s="84">
        <f t="shared" ca="1" si="77"/>
        <v>136.52116451141086</v>
      </c>
      <c r="AR95" s="84">
        <f t="shared" ca="1" si="77"/>
        <v>140.70549042749991</v>
      </c>
      <c r="AS95" s="84">
        <f t="shared" ca="1" si="77"/>
        <v>145.20713613019058</v>
      </c>
      <c r="AT95" s="84">
        <f t="shared" ca="1" si="77"/>
        <v>149.7100513114396</v>
      </c>
      <c r="AU95" s="84">
        <f t="shared" ca="1" si="77"/>
        <v>154.56916348250545</v>
      </c>
      <c r="AV95" s="84">
        <f t="shared" ca="1" si="77"/>
        <v>159.82343678278042</v>
      </c>
      <c r="AW95" s="84">
        <f t="shared" ca="1" si="77"/>
        <v>165.51549499496923</v>
      </c>
      <c r="AX95" s="84">
        <f t="shared" ca="1" si="77"/>
        <v>171.68751918304119</v>
      </c>
      <c r="AY95" s="84">
        <f t="shared" ca="1" si="77"/>
        <v>178.38292999783224</v>
      </c>
      <c r="AZ95" s="84">
        <f t="shared" ca="1" si="77"/>
        <v>185.67750356052852</v>
      </c>
      <c r="BA95" s="84">
        <f t="shared" ca="1" si="77"/>
        <v>193.54979196534543</v>
      </c>
      <c r="BB95" s="84">
        <f t="shared" ca="1" si="77"/>
        <v>202.07849995233542</v>
      </c>
      <c r="BC95" s="84">
        <f t="shared" ca="1" si="77"/>
        <v>211.3172590947753</v>
      </c>
      <c r="BD95" s="84">
        <f t="shared" ca="1" si="77"/>
        <v>221.32435450929583</v>
      </c>
      <c r="BE95" s="84">
        <f t="shared" ca="1" si="77"/>
        <v>232.15881177866419</v>
      </c>
      <c r="BF95" s="84">
        <f t="shared" ca="1" si="77"/>
        <v>243.88524482163697</v>
      </c>
      <c r="BG95" s="84">
        <f t="shared" ca="1" si="77"/>
        <v>256.57147021907417</v>
      </c>
      <c r="BH95" s="84">
        <f t="shared" ca="1" si="77"/>
        <v>270.28828136092756</v>
      </c>
      <c r="BI95" s="84">
        <f t="shared" ca="1" si="77"/>
        <v>285.10973486674629</v>
      </c>
      <c r="BJ95" s="84">
        <f t="shared" ca="1" si="77"/>
        <v>301.11265101875563</v>
      </c>
      <c r="BK95" s="84">
        <f t="shared" ca="1" si="77"/>
        <v>318.37802494157705</v>
      </c>
      <c r="BL95" s="84">
        <f t="shared" ca="1" si="77"/>
        <v>336.99321837686136</v>
      </c>
      <c r="BM95" s="84">
        <f t="shared" ca="1" si="77"/>
        <v>357.0539531656708</v>
      </c>
      <c r="BN95" s="84">
        <f t="shared" ca="1" si="77"/>
        <v>378.66064657877547</v>
      </c>
      <c r="BO95" s="84">
        <f t="shared" ca="1" si="77"/>
        <v>401.91898506231541</v>
      </c>
      <c r="BP95" s="84">
        <f t="shared" ref="BP95:CU95" ca="1" si="78">BO98*BO$51+SUM(BP91:BP94,BP96)*((1+BO$51)^0.5-1)</f>
        <v>426.94312522036222</v>
      </c>
      <c r="BQ95" s="84">
        <f t="shared" ca="1" si="78"/>
        <v>453.86031517437863</v>
      </c>
      <c r="BR95" s="84">
        <f t="shared" ca="1" si="78"/>
        <v>482.80262610965588</v>
      </c>
      <c r="BS95" s="84">
        <f t="shared" ca="1" si="78"/>
        <v>513.90755768697466</v>
      </c>
      <c r="BT95" s="84">
        <f t="shared" ca="1" si="78"/>
        <v>547.31402881284578</v>
      </c>
      <c r="BU95" s="84">
        <f t="shared" ca="1" si="78"/>
        <v>583.17618379133648</v>
      </c>
      <c r="BV95" s="84">
        <f t="shared" ca="1" si="78"/>
        <v>621.67282332175932</v>
      </c>
      <c r="BW95" s="84">
        <f t="shared" ca="1" si="78"/>
        <v>663.00889553672482</v>
      </c>
      <c r="BX95" s="84">
        <f t="shared" ca="1" si="78"/>
        <v>707.40204076496389</v>
      </c>
      <c r="BY95" s="84">
        <f t="shared" ca="1" si="78"/>
        <v>755.09331427612915</v>
      </c>
      <c r="BZ95" s="84">
        <f t="shared" ca="1" si="78"/>
        <v>806.32152676928956</v>
      </c>
      <c r="CA95" s="84">
        <f t="shared" ca="1" si="78"/>
        <v>861.35715201241248</v>
      </c>
      <c r="CB95" s="84">
        <f t="shared" ca="1" si="78"/>
        <v>920.50737114276023</v>
      </c>
      <c r="CC95" s="84">
        <f t="shared" ca="1" si="78"/>
        <v>984.08978186366164</v>
      </c>
      <c r="CD95" s="84">
        <f t="shared" ca="1" si="78"/>
        <v>1052.4820199492851</v>
      </c>
      <c r="CE95" s="84">
        <f t="shared" ca="1" si="78"/>
        <v>1126.0412931214312</v>
      </c>
      <c r="CF95" s="84">
        <f t="shared" ca="1" si="78"/>
        <v>1205.1559794640725</v>
      </c>
      <c r="CG95" s="84">
        <f t="shared" ca="1" si="78"/>
        <v>1290.1861376106449</v>
      </c>
      <c r="CH95" s="84">
        <f t="shared" ca="1" si="78"/>
        <v>1381.5698560879864</v>
      </c>
      <c r="CI95" s="84">
        <f t="shared" ca="1" si="78"/>
        <v>1479.9217544053761</v>
      </c>
      <c r="CJ95" s="84">
        <f t="shared" ca="1" si="78"/>
        <v>1585.7323233485215</v>
      </c>
      <c r="CK95" s="84">
        <f t="shared" ca="1" si="78"/>
        <v>1699.5440400100886</v>
      </c>
      <c r="CL95" s="84">
        <f t="shared" ca="1" si="78"/>
        <v>1821.9939064483528</v>
      </c>
      <c r="CM95" s="84">
        <f t="shared" ca="1" si="78"/>
        <v>1953.7100253168289</v>
      </c>
      <c r="CN95" s="84">
        <f t="shared" ca="1" si="78"/>
        <v>2095.416060862025</v>
      </c>
      <c r="CO95" s="84">
        <f t="shared" ca="1" si="78"/>
        <v>2247.8866517182801</v>
      </c>
      <c r="CP95" s="84">
        <f t="shared" ca="1" si="78"/>
        <v>2411.9802620804999</v>
      </c>
      <c r="CQ95" s="84">
        <f t="shared" ca="1" si="78"/>
        <v>2588.5923454896383</v>
      </c>
      <c r="CR95" s="84">
        <f t="shared" ca="1" si="78"/>
        <v>2778.705575604331</v>
      </c>
      <c r="CS95" s="84">
        <f t="shared" ca="1" si="78"/>
        <v>2983.3166301216461</v>
      </c>
      <c r="CT95" s="84">
        <f t="shared" ca="1" si="78"/>
        <v>3203.5741587536718</v>
      </c>
      <c r="CU95" s="84">
        <f t="shared" ca="1" si="78"/>
        <v>3440.6503760714822</v>
      </c>
      <c r="CV95" s="84">
        <f t="shared" ref="CV95:EA95" ca="1" si="79">CU98*CU$51+SUM(CV91:CV94,CV96)*((1+CU$51)^0.5-1)</f>
        <v>3695.9543505585989</v>
      </c>
      <c r="CW95" s="84">
        <f t="shared" ca="1" si="79"/>
        <v>3970.85739711326</v>
      </c>
      <c r="CX95" s="84">
        <f t="shared" ca="1" si="79"/>
        <v>4266.8750713274521</v>
      </c>
      <c r="CY95" s="84">
        <f t="shared" ca="1" si="79"/>
        <v>4585.5111642061702</v>
      </c>
      <c r="CZ95" s="84">
        <f t="shared" ca="1" si="79"/>
        <v>4928.4669144118816</v>
      </c>
      <c r="DA95" s="84">
        <f t="shared" ca="1" si="79"/>
        <v>5297.6439339657336</v>
      </c>
      <c r="DB95" s="84">
        <f t="shared" ca="1" si="79"/>
        <v>5695.0320299725818</v>
      </c>
      <c r="DC95" s="84">
        <f t="shared" ca="1" si="79"/>
        <v>6122.6928738607949</v>
      </c>
      <c r="DD95" s="84">
        <f t="shared" ca="1" si="79"/>
        <v>6582.8442767500337</v>
      </c>
      <c r="DE95" s="84">
        <f t="shared" ca="1" si="79"/>
        <v>7077.9013998258179</v>
      </c>
      <c r="DF95" s="84">
        <f t="shared" ca="1" si="79"/>
        <v>7610.4502721269155</v>
      </c>
      <c r="DG95" s="84">
        <f t="shared" ca="1" si="79"/>
        <v>8183.319940164075</v>
      </c>
      <c r="DH95" s="84">
        <f t="shared" ca="1" si="79"/>
        <v>8799.5134050516881</v>
      </c>
      <c r="DI95" s="84">
        <f t="shared" ca="1" si="79"/>
        <v>9462.3825666348876</v>
      </c>
      <c r="DJ95" s="84">
        <f t="shared" ca="1" si="79"/>
        <v>10175.490327966938</v>
      </c>
      <c r="DK95" s="84">
        <f t="shared" ca="1" si="79"/>
        <v>10942.614604700972</v>
      </c>
      <c r="DL95" s="84">
        <f t="shared" ca="1" si="79"/>
        <v>11767.768303767518</v>
      </c>
      <c r="DM95" s="84">
        <f t="shared" ca="1" si="79"/>
        <v>12655.453608983176</v>
      </c>
      <c r="DN95" s="84">
        <f t="shared" ca="1" si="79"/>
        <v>13610.33816950284</v>
      </c>
      <c r="DO95" s="84">
        <f t="shared" ca="1" si="79"/>
        <v>14637.376226576716</v>
      </c>
      <c r="DP95" s="84">
        <f t="shared" ca="1" si="79"/>
        <v>15741.992410323053</v>
      </c>
      <c r="DQ95" s="84">
        <f t="shared" ca="1" si="79"/>
        <v>16930.030573331005</v>
      </c>
      <c r="DR95" s="84">
        <f t="shared" ca="1" si="79"/>
        <v>18207.800344569303</v>
      </c>
      <c r="DS95" s="84">
        <f t="shared" ca="1" si="79"/>
        <v>19582.07460820182</v>
      </c>
      <c r="DT95" s="84">
        <f t="shared" ca="1" si="79"/>
        <v>21060.125908011854</v>
      </c>
      <c r="DU95" s="84">
        <f t="shared" ca="1" si="79"/>
        <v>22649.819194641197</v>
      </c>
      <c r="DV95" s="84">
        <f t="shared" ca="1" si="79"/>
        <v>24359.600056335985</v>
      </c>
      <c r="DW95" s="84">
        <f t="shared" ca="1" si="79"/>
        <v>26198.538773207776</v>
      </c>
      <c r="DX95" s="84">
        <f t="shared" ca="1" si="79"/>
        <v>28176.381360589457</v>
      </c>
      <c r="DY95" s="84">
        <f t="shared" ca="1" si="79"/>
        <v>30303.595641233693</v>
      </c>
      <c r="DZ95" s="84">
        <f t="shared" ca="1" si="79"/>
        <v>32591.4960745067</v>
      </c>
      <c r="EA95" s="84">
        <f t="shared" ca="1" si="79"/>
        <v>35052.201359858125</v>
      </c>
      <c r="EB95" s="84">
        <f t="shared" ref="EB95:EL95" ca="1" si="80">EA98*EA$51+SUM(EB91:EB94,EB96)*((1+EA$51)^0.5-1)</f>
        <v>37698.766836433002</v>
      </c>
      <c r="EC95" s="84">
        <f t="shared" ca="1" si="80"/>
        <v>40545.31832205633</v>
      </c>
      <c r="ED95" s="84">
        <f t="shared" ca="1" si="80"/>
        <v>43606.951717232361</v>
      </c>
      <c r="EE95" s="84">
        <f t="shared" ca="1" si="80"/>
        <v>46899.841362599851</v>
      </c>
      <c r="EF95" s="84">
        <f t="shared" ca="1" si="80"/>
        <v>50441.477160665781</v>
      </c>
      <c r="EG95" s="84">
        <f t="shared" ca="1" si="80"/>
        <v>54250.673856171932</v>
      </c>
      <c r="EH95" s="84">
        <f t="shared" ca="1" si="80"/>
        <v>58347.626474383418</v>
      </c>
      <c r="EI95" s="84">
        <f t="shared" ca="1" si="80"/>
        <v>62754.042598251661</v>
      </c>
      <c r="EJ95" s="84">
        <f t="shared" ca="1" si="80"/>
        <v>67493.330751552436</v>
      </c>
      <c r="EK95" s="84">
        <f t="shared" ca="1" si="80"/>
        <v>72590.656016644236</v>
      </c>
      <c r="EL95" s="84">
        <f t="shared" ca="1" si="80"/>
        <v>78072.994841951848</v>
      </c>
    </row>
    <row r="96" spans="1:142" s="2" customFormat="1">
      <c r="B96" s="51" t="s">
        <v>71</v>
      </c>
      <c r="C96" s="83"/>
      <c r="D96" s="83">
        <f>LiabilityCF!D9</f>
        <v>-9.2345382640991094</v>
      </c>
      <c r="E96" s="83">
        <f>LiabilityCF!E9</f>
        <v>-5.1722487639812273</v>
      </c>
      <c r="F96" s="83">
        <f>LiabilityCF!F9</f>
        <v>-3.3489431674530605</v>
      </c>
      <c r="G96" s="83">
        <f>LiabilityCF!G9</f>
        <v>-1.6162145589303663</v>
      </c>
      <c r="H96" s="83">
        <f>LiabilityCF!H9</f>
        <v>-2.3959212131675046E-3</v>
      </c>
      <c r="I96" s="83">
        <f>LiabilityCF!I9</f>
        <v>0</v>
      </c>
      <c r="J96" s="83">
        <f>LiabilityCF!J9</f>
        <v>0</v>
      </c>
      <c r="K96" s="83">
        <f>LiabilityCF!K9</f>
        <v>0</v>
      </c>
      <c r="L96" s="83">
        <f>LiabilityCF!L9</f>
        <v>0</v>
      </c>
      <c r="M96" s="83">
        <f>LiabilityCF!M9</f>
        <v>0</v>
      </c>
      <c r="N96" s="83">
        <f>LiabilityCF!N9</f>
        <v>0</v>
      </c>
      <c r="O96" s="83">
        <f>LiabilityCF!O9</f>
        <v>0</v>
      </c>
      <c r="P96" s="83">
        <f>LiabilityCF!P9</f>
        <v>0</v>
      </c>
      <c r="Q96" s="83">
        <f>LiabilityCF!Q9</f>
        <v>0</v>
      </c>
      <c r="R96" s="83">
        <f>LiabilityCF!R9</f>
        <v>0</v>
      </c>
      <c r="S96" s="83">
        <f>LiabilityCF!S9</f>
        <v>0</v>
      </c>
      <c r="T96" s="83">
        <f>LiabilityCF!T9</f>
        <v>0</v>
      </c>
      <c r="U96" s="83">
        <f>LiabilityCF!U9</f>
        <v>0</v>
      </c>
      <c r="V96" s="83">
        <f>LiabilityCF!V9</f>
        <v>0</v>
      </c>
      <c r="W96" s="83">
        <f>LiabilityCF!W9</f>
        <v>0</v>
      </c>
      <c r="X96" s="83">
        <f>LiabilityCF!X9</f>
        <v>0</v>
      </c>
      <c r="Y96" s="83">
        <f>LiabilityCF!Y9</f>
        <v>0</v>
      </c>
      <c r="Z96" s="83">
        <f>LiabilityCF!Z9</f>
        <v>0</v>
      </c>
      <c r="AA96" s="83">
        <f>LiabilityCF!AA9</f>
        <v>0</v>
      </c>
      <c r="AB96" s="83">
        <f>LiabilityCF!AB9</f>
        <v>0</v>
      </c>
      <c r="AC96" s="83">
        <f>LiabilityCF!AC9</f>
        <v>0</v>
      </c>
      <c r="AD96" s="83">
        <f>LiabilityCF!AD9</f>
        <v>0</v>
      </c>
      <c r="AE96" s="83">
        <f>LiabilityCF!AE9</f>
        <v>0</v>
      </c>
      <c r="AF96" s="83">
        <f>LiabilityCF!AF9</f>
        <v>0</v>
      </c>
      <c r="AG96" s="83">
        <f>LiabilityCF!AG9</f>
        <v>0</v>
      </c>
      <c r="AH96" s="83">
        <f>LiabilityCF!AH9</f>
        <v>0</v>
      </c>
      <c r="AI96" s="83">
        <f>LiabilityCF!AI9</f>
        <v>0</v>
      </c>
      <c r="AJ96" s="83">
        <f>LiabilityCF!AJ9</f>
        <v>0</v>
      </c>
      <c r="AK96" s="83">
        <f>LiabilityCF!AK9</f>
        <v>0</v>
      </c>
      <c r="AL96" s="83">
        <f>LiabilityCF!AL9</f>
        <v>0</v>
      </c>
      <c r="AM96" s="83">
        <f>LiabilityCF!AM9</f>
        <v>0</v>
      </c>
      <c r="AN96" s="83">
        <f>LiabilityCF!AN9</f>
        <v>0</v>
      </c>
      <c r="AO96" s="83">
        <f>LiabilityCF!AO9</f>
        <v>0</v>
      </c>
      <c r="AP96" s="83">
        <f>LiabilityCF!AP9</f>
        <v>0</v>
      </c>
      <c r="AQ96" s="83">
        <f>LiabilityCF!AQ9</f>
        <v>0</v>
      </c>
      <c r="AR96" s="83">
        <f>LiabilityCF!AR9</f>
        <v>0</v>
      </c>
      <c r="AS96" s="83">
        <f>LiabilityCF!AS9</f>
        <v>0</v>
      </c>
      <c r="AT96" s="83">
        <f>LiabilityCF!AT9</f>
        <v>0</v>
      </c>
      <c r="AU96" s="83">
        <f>LiabilityCF!AU9</f>
        <v>0</v>
      </c>
      <c r="AV96" s="83">
        <f>LiabilityCF!AV9</f>
        <v>0</v>
      </c>
      <c r="AW96" s="83">
        <f>LiabilityCF!AW9</f>
        <v>0</v>
      </c>
      <c r="AX96" s="83">
        <f>LiabilityCF!AX9</f>
        <v>0</v>
      </c>
      <c r="AY96" s="83">
        <f>LiabilityCF!AY9</f>
        <v>0</v>
      </c>
      <c r="AZ96" s="83">
        <f>LiabilityCF!AZ9</f>
        <v>0</v>
      </c>
      <c r="BA96" s="83">
        <f>LiabilityCF!BA9</f>
        <v>0</v>
      </c>
      <c r="BB96" s="83">
        <f>LiabilityCF!BB9</f>
        <v>0</v>
      </c>
      <c r="BC96" s="83">
        <f>LiabilityCF!BC9</f>
        <v>0</v>
      </c>
      <c r="BD96" s="83">
        <f>LiabilityCF!BD9</f>
        <v>0</v>
      </c>
      <c r="BE96" s="83">
        <f>LiabilityCF!BE9</f>
        <v>0</v>
      </c>
      <c r="BF96" s="83">
        <f>LiabilityCF!BF9</f>
        <v>0</v>
      </c>
      <c r="BG96" s="83">
        <f>LiabilityCF!BG9</f>
        <v>0</v>
      </c>
      <c r="BH96" s="83">
        <f>LiabilityCF!BH9</f>
        <v>0</v>
      </c>
      <c r="BI96" s="83">
        <f>LiabilityCF!BI9</f>
        <v>0</v>
      </c>
      <c r="BJ96" s="83">
        <f>LiabilityCF!BJ9</f>
        <v>0</v>
      </c>
      <c r="BK96" s="83">
        <f>LiabilityCF!BK9</f>
        <v>0</v>
      </c>
      <c r="BL96" s="83">
        <f>LiabilityCF!BL9</f>
        <v>0</v>
      </c>
      <c r="BM96" s="83">
        <f>LiabilityCF!BM9</f>
        <v>0</v>
      </c>
      <c r="BN96" s="83">
        <f>LiabilityCF!BN9</f>
        <v>0</v>
      </c>
      <c r="BO96" s="83">
        <f>LiabilityCF!BO9</f>
        <v>0</v>
      </c>
      <c r="BP96" s="83">
        <f>LiabilityCF!BP9</f>
        <v>0</v>
      </c>
      <c r="BQ96" s="83">
        <f>LiabilityCF!BQ9</f>
        <v>0</v>
      </c>
      <c r="BR96" s="83">
        <f>LiabilityCF!BR9</f>
        <v>0</v>
      </c>
      <c r="BS96" s="83">
        <f>LiabilityCF!BS9</f>
        <v>0</v>
      </c>
      <c r="BT96" s="83">
        <f>LiabilityCF!BT9</f>
        <v>0</v>
      </c>
      <c r="BU96" s="83">
        <f>LiabilityCF!BU9</f>
        <v>0</v>
      </c>
      <c r="BV96" s="83">
        <f>LiabilityCF!BV9</f>
        <v>0</v>
      </c>
      <c r="BW96" s="83">
        <f>LiabilityCF!BW9</f>
        <v>0</v>
      </c>
      <c r="BX96" s="83">
        <f>LiabilityCF!BX9</f>
        <v>0</v>
      </c>
      <c r="BY96" s="83">
        <f>LiabilityCF!BY9</f>
        <v>0</v>
      </c>
      <c r="BZ96" s="83">
        <f>LiabilityCF!BZ9</f>
        <v>0</v>
      </c>
      <c r="CA96" s="83">
        <f>LiabilityCF!CA9</f>
        <v>0</v>
      </c>
      <c r="CB96" s="83">
        <f>LiabilityCF!CB9</f>
        <v>0</v>
      </c>
      <c r="CC96" s="83">
        <f>LiabilityCF!CC9</f>
        <v>0</v>
      </c>
      <c r="CD96" s="83">
        <f>LiabilityCF!CD9</f>
        <v>0</v>
      </c>
      <c r="CE96" s="83">
        <f>LiabilityCF!CE9</f>
        <v>0</v>
      </c>
      <c r="CF96" s="83">
        <f>LiabilityCF!CF9</f>
        <v>0</v>
      </c>
      <c r="CG96" s="83">
        <f>LiabilityCF!CG9</f>
        <v>0</v>
      </c>
      <c r="CH96" s="83">
        <f>LiabilityCF!CH9</f>
        <v>0</v>
      </c>
      <c r="CI96" s="83">
        <f>LiabilityCF!CI9</f>
        <v>0</v>
      </c>
      <c r="CJ96" s="83">
        <f>LiabilityCF!CJ9</f>
        <v>0</v>
      </c>
      <c r="CK96" s="83">
        <f>LiabilityCF!CK9</f>
        <v>0</v>
      </c>
      <c r="CL96" s="83">
        <f>LiabilityCF!CL9</f>
        <v>0</v>
      </c>
      <c r="CM96" s="83">
        <f>LiabilityCF!CM9</f>
        <v>0</v>
      </c>
      <c r="CN96" s="83">
        <f>LiabilityCF!CN9</f>
        <v>0</v>
      </c>
      <c r="CO96" s="83">
        <f>LiabilityCF!CO9</f>
        <v>0</v>
      </c>
      <c r="CP96" s="83">
        <f>LiabilityCF!CP9</f>
        <v>0</v>
      </c>
      <c r="CQ96" s="83">
        <f>LiabilityCF!CQ9</f>
        <v>0</v>
      </c>
      <c r="CR96" s="83">
        <f>LiabilityCF!CR9</f>
        <v>0</v>
      </c>
      <c r="CS96" s="83">
        <f>LiabilityCF!CS9</f>
        <v>0</v>
      </c>
      <c r="CT96" s="83">
        <f>LiabilityCF!CT9</f>
        <v>0</v>
      </c>
      <c r="CU96" s="83">
        <f>LiabilityCF!CU9</f>
        <v>0</v>
      </c>
      <c r="CV96" s="83">
        <f>LiabilityCF!CV9</f>
        <v>0</v>
      </c>
      <c r="CW96" s="83">
        <f>LiabilityCF!CW9</f>
        <v>0</v>
      </c>
      <c r="CX96" s="83">
        <f>LiabilityCF!CX9</f>
        <v>0</v>
      </c>
      <c r="CY96" s="83">
        <f>LiabilityCF!CY9</f>
        <v>0</v>
      </c>
      <c r="CZ96" s="83">
        <f>LiabilityCF!CZ9</f>
        <v>0</v>
      </c>
      <c r="DA96" s="83">
        <f>LiabilityCF!DA9</f>
        <v>0</v>
      </c>
      <c r="DB96" s="83">
        <f>LiabilityCF!DB9</f>
        <v>0</v>
      </c>
      <c r="DC96" s="83">
        <f>LiabilityCF!DC9</f>
        <v>0</v>
      </c>
      <c r="DD96" s="83">
        <f>LiabilityCF!DD9</f>
        <v>0</v>
      </c>
      <c r="DE96" s="83">
        <f>LiabilityCF!DE9</f>
        <v>0</v>
      </c>
      <c r="DF96" s="83">
        <f>LiabilityCF!DF9</f>
        <v>0</v>
      </c>
      <c r="DG96" s="83">
        <f>LiabilityCF!DG9</f>
        <v>0</v>
      </c>
      <c r="DH96" s="83">
        <f>LiabilityCF!DH9</f>
        <v>0</v>
      </c>
      <c r="DI96" s="83">
        <f>LiabilityCF!DI9</f>
        <v>0</v>
      </c>
      <c r="DJ96" s="83">
        <f>LiabilityCF!DJ9</f>
        <v>0</v>
      </c>
      <c r="DK96" s="83">
        <f>LiabilityCF!DK9</f>
        <v>0</v>
      </c>
      <c r="DL96" s="83">
        <f>LiabilityCF!DL9</f>
        <v>0</v>
      </c>
      <c r="DM96" s="83">
        <f>LiabilityCF!DM9</f>
        <v>0</v>
      </c>
      <c r="DN96" s="83">
        <f>LiabilityCF!DN9</f>
        <v>0</v>
      </c>
      <c r="DO96" s="83">
        <f>LiabilityCF!DO9</f>
        <v>0</v>
      </c>
      <c r="DP96" s="83">
        <f>LiabilityCF!DP9</f>
        <v>0</v>
      </c>
      <c r="DQ96" s="83">
        <f>LiabilityCF!DQ9</f>
        <v>0</v>
      </c>
      <c r="DR96" s="83">
        <f>LiabilityCF!DR9</f>
        <v>0</v>
      </c>
      <c r="DS96" s="83">
        <f>LiabilityCF!DS9</f>
        <v>0</v>
      </c>
      <c r="DT96" s="83">
        <f>LiabilityCF!DT9</f>
        <v>0</v>
      </c>
      <c r="DU96" s="83">
        <f>LiabilityCF!DU9</f>
        <v>0</v>
      </c>
      <c r="DV96" s="83">
        <f>LiabilityCF!DV9</f>
        <v>0</v>
      </c>
      <c r="DW96" s="83">
        <f>LiabilityCF!DW9</f>
        <v>0</v>
      </c>
      <c r="DX96" s="83">
        <f>LiabilityCF!DX9</f>
        <v>0</v>
      </c>
      <c r="DY96" s="83">
        <f>LiabilityCF!DY9</f>
        <v>0</v>
      </c>
      <c r="DZ96" s="83">
        <f>LiabilityCF!DZ9</f>
        <v>0</v>
      </c>
      <c r="EA96" s="83">
        <f>LiabilityCF!EA9</f>
        <v>0</v>
      </c>
      <c r="EB96" s="83">
        <f>LiabilityCF!EB9</f>
        <v>0</v>
      </c>
      <c r="EC96" s="83">
        <f>LiabilityCF!EC9</f>
        <v>0</v>
      </c>
      <c r="ED96" s="83">
        <f>LiabilityCF!ED9</f>
        <v>0</v>
      </c>
      <c r="EE96" s="83">
        <f>LiabilityCF!EE9</f>
        <v>0</v>
      </c>
      <c r="EF96" s="83">
        <f>LiabilityCF!EF9</f>
        <v>0</v>
      </c>
      <c r="EG96" s="83">
        <f>LiabilityCF!EG9</f>
        <v>0</v>
      </c>
      <c r="EH96" s="83">
        <f>LiabilityCF!EH9</f>
        <v>0</v>
      </c>
      <c r="EI96" s="83">
        <f>LiabilityCF!EI9</f>
        <v>0</v>
      </c>
      <c r="EJ96" s="83">
        <f>LiabilityCF!EJ9</f>
        <v>0</v>
      </c>
      <c r="EK96" s="83">
        <f>LiabilityCF!EK9</f>
        <v>0</v>
      </c>
      <c r="EL96" s="83">
        <f>LiabilityCF!EL9</f>
        <v>0</v>
      </c>
    </row>
    <row r="97" spans="2:142" s="2" customFormat="1">
      <c r="B97" s="51" t="s">
        <v>70</v>
      </c>
      <c r="C97" s="83"/>
      <c r="D97" s="83">
        <f>LiabilityCF!D10</f>
        <v>-0.96921908197227757</v>
      </c>
      <c r="E97" s="83">
        <f>LiabilityCF!E10</f>
        <v>-1.2922209406512524</v>
      </c>
      <c r="F97" s="83">
        <f>LiabilityCF!F10</f>
        <v>-1.5408614053341843</v>
      </c>
      <c r="G97" s="83">
        <f>LiabilityCF!G10</f>
        <v>-1.7148611278094343</v>
      </c>
      <c r="H97" s="83">
        <f>LiabilityCF!H10</f>
        <v>-1.801929405702154</v>
      </c>
      <c r="I97" s="83">
        <f>LiabilityCF!I10</f>
        <v>-1.8191060229552873</v>
      </c>
      <c r="J97" s="83">
        <f>LiabilityCF!J10</f>
        <v>-1.8043698538130426</v>
      </c>
      <c r="K97" s="83">
        <f>LiabilityCF!K10</f>
        <v>-1.7928080999944858</v>
      </c>
      <c r="L97" s="83">
        <f>LiabilityCF!L10</f>
        <v>-1.8055503644655482</v>
      </c>
      <c r="M97" s="83">
        <f>LiabilityCF!M10</f>
        <v>-1.8726620401580021</v>
      </c>
      <c r="N97" s="83">
        <f>LiabilityCF!N10</f>
        <v>-2.0277039312372662</v>
      </c>
      <c r="O97" s="83">
        <f>LiabilityCF!O10</f>
        <v>-2.1616269641003383</v>
      </c>
      <c r="P97" s="83">
        <f>LiabilityCF!P10</f>
        <v>-2.2597224506426428</v>
      </c>
      <c r="Q97" s="83">
        <f>LiabilityCF!Q10</f>
        <v>-2.3619316177003755</v>
      </c>
      <c r="R97" s="83">
        <f>LiabilityCF!R10</f>
        <v>-2.6011460978689187</v>
      </c>
      <c r="S97" s="83">
        <f>LiabilityCF!S10</f>
        <v>-4.9209951655972226</v>
      </c>
      <c r="T97" s="83">
        <f>LiabilityCF!T10</f>
        <v>-6.445368973348482</v>
      </c>
      <c r="U97" s="83">
        <f>LiabilityCF!U10</f>
        <v>-6.6522127685619834</v>
      </c>
      <c r="V97" s="83">
        <f>LiabilityCF!V10</f>
        <v>-6.8607565614966193</v>
      </c>
      <c r="W97" s="83">
        <f>LiabilityCF!W10</f>
        <v>-7.097013957104136</v>
      </c>
      <c r="X97" s="83">
        <f>LiabilityCF!X10</f>
        <v>-7.3347951350813103</v>
      </c>
      <c r="Y97" s="83">
        <f>LiabilityCF!Y10</f>
        <v>-7.5452591172405876</v>
      </c>
      <c r="Z97" s="83">
        <f>LiabilityCF!Z10</f>
        <v>-7.7542294469892195</v>
      </c>
      <c r="AA97" s="83">
        <f>LiabilityCF!AA10</f>
        <v>-7.9777603288121854</v>
      </c>
      <c r="AB97" s="83">
        <f>LiabilityCF!AB10</f>
        <v>-8.7518916661656121</v>
      </c>
      <c r="AC97" s="83">
        <f>LiabilityCF!AC10</f>
        <v>-9.2614304533673479</v>
      </c>
      <c r="AD97" s="83">
        <f>LiabilityCF!AD10</f>
        <v>-9.501425017682319</v>
      </c>
      <c r="AE97" s="83">
        <f>LiabilityCF!AE10</f>
        <v>-9.7416846252891798</v>
      </c>
      <c r="AF97" s="83">
        <f>LiabilityCF!AF10</f>
        <v>-9.9841743388144142</v>
      </c>
      <c r="AG97" s="83">
        <f>LiabilityCF!AG10</f>
        <v>-10.407423943581851</v>
      </c>
      <c r="AH97" s="83">
        <f>LiabilityCF!AH10</f>
        <v>-10.744186174297218</v>
      </c>
      <c r="AI97" s="83">
        <f>LiabilityCF!AI10</f>
        <v>-11.005778444672391</v>
      </c>
      <c r="AJ97" s="83">
        <f>LiabilityCF!AJ10</f>
        <v>-11.273226274141972</v>
      </c>
      <c r="AK97" s="83">
        <f>LiabilityCF!AK10</f>
        <v>-11.549689824125336</v>
      </c>
      <c r="AL97" s="83">
        <f>LiabilityCF!AL10</f>
        <v>-11.838415988843643</v>
      </c>
      <c r="AM97" s="83">
        <f>LiabilityCF!AM10</f>
        <v>-12.143244540799826</v>
      </c>
      <c r="AN97" s="83">
        <f>LiabilityCF!AN10</f>
        <v>-12.46362169667661</v>
      </c>
      <c r="AO97" s="83">
        <f>LiabilityCF!AO10</f>
        <v>-12.801697797673771</v>
      </c>
      <c r="AP97" s="83">
        <f>LiabilityCF!AP10</f>
        <v>-13.166548707917805</v>
      </c>
      <c r="AQ97" s="83">
        <f>LiabilityCF!AQ10</f>
        <v>-13.560752775789167</v>
      </c>
      <c r="AR97" s="83">
        <f>LiabilityCF!AR10</f>
        <v>-13.986609285440631</v>
      </c>
      <c r="AS97" s="83">
        <f>LiabilityCF!AS10</f>
        <v>-14.449583893561561</v>
      </c>
      <c r="AT97" s="83">
        <f>LiabilityCF!AT10</f>
        <v>-14.950466082411115</v>
      </c>
      <c r="AU97" s="83">
        <f>LiabilityCF!AU10</f>
        <v>-15.491819145683708</v>
      </c>
      <c r="AV97" s="83">
        <f>LiabilityCF!AV10</f>
        <v>-16.077757352537212</v>
      </c>
      <c r="AW97" s="83">
        <f>LiabilityCF!AW10</f>
        <v>-16.714012509777419</v>
      </c>
      <c r="AX97" s="83">
        <f>LiabilityCF!AX10</f>
        <v>-17.402366858725568</v>
      </c>
      <c r="AY97" s="83">
        <f>LiabilityCF!AY10</f>
        <v>-18.144572167409148</v>
      </c>
      <c r="AZ97" s="83">
        <f>LiabilityCF!AZ10</f>
        <v>-18.946393119335166</v>
      </c>
      <c r="BA97" s="83">
        <f>LiabilityCF!BA10</f>
        <v>-19.810032851459237</v>
      </c>
      <c r="BB97" s="83">
        <f>LiabilityCF!BB10</f>
        <v>-20.742569580837618</v>
      </c>
      <c r="BC97" s="83">
        <f>LiabilityCF!BC10</f>
        <v>-21.747115311650361</v>
      </c>
      <c r="BD97" s="83">
        <f>LiabilityCF!BD10</f>
        <v>-22.828329687170896</v>
      </c>
      <c r="BE97" s="83">
        <f>LiabilityCF!BE10</f>
        <v>-23.988717105903831</v>
      </c>
      <c r="BF97" s="83">
        <f>LiabilityCF!BF10</f>
        <v>-25.227342331957288</v>
      </c>
      <c r="BG97" s="83">
        <f>LiabilityCF!BG10</f>
        <v>-26.542950725360718</v>
      </c>
      <c r="BH97" s="83">
        <f>LiabilityCF!BH10</f>
        <v>-27.956862790689737</v>
      </c>
      <c r="BI97" s="83">
        <f>LiabilityCF!BI10</f>
        <v>-29.458058112701355</v>
      </c>
      <c r="BJ97" s="83">
        <f>LiabilityCF!BJ10</f>
        <v>-31.043552577364999</v>
      </c>
      <c r="BK97" s="83">
        <f>LiabilityCF!BK10</f>
        <v>-32.727559269875975</v>
      </c>
      <c r="BL97" s="83">
        <f>LiabilityCF!BL10</f>
        <v>-34.502496809846271</v>
      </c>
      <c r="BM97" s="83">
        <f>LiabilityCF!BM10</f>
        <v>-36.374621297151386</v>
      </c>
      <c r="BN97" s="83">
        <f>LiabilityCF!BN10</f>
        <v>-38.321568783919126</v>
      </c>
      <c r="BO97" s="83">
        <f>LiabilityCF!BO10</f>
        <v>-40.323714053791051</v>
      </c>
      <c r="BP97" s="83">
        <f>LiabilityCF!BP10</f>
        <v>-42.297000332844412</v>
      </c>
      <c r="BQ97" s="83">
        <f>LiabilityCF!BQ10</f>
        <v>-44.278157005773394</v>
      </c>
      <c r="BR97" s="83">
        <f>LiabilityCF!BR10</f>
        <v>-46.305354507537153</v>
      </c>
      <c r="BS97" s="83">
        <f>LiabilityCF!BS10</f>
        <v>-48.493752473686584</v>
      </c>
      <c r="BT97" s="83">
        <f>LiabilityCF!BT10</f>
        <v>-50.781461920511859</v>
      </c>
      <c r="BU97" s="83">
        <f>LiabilityCF!BU10</f>
        <v>-52.993170911051834</v>
      </c>
      <c r="BV97" s="83">
        <f>LiabilityCF!BV10</f>
        <v>-54.999951998092392</v>
      </c>
      <c r="BW97" s="83">
        <f>LiabilityCF!BW10</f>
        <v>-56.833841582542902</v>
      </c>
      <c r="BX97" s="83">
        <f>LiabilityCF!BX10</f>
        <v>-58.410727689033941</v>
      </c>
      <c r="BY97" s="83">
        <f>LiabilityCF!BY10</f>
        <v>-60.012121614431294</v>
      </c>
      <c r="BZ97" s="83">
        <f>LiabilityCF!BZ10</f>
        <v>-61.452332364929362</v>
      </c>
      <c r="CA97" s="83">
        <f>LiabilityCF!CA10</f>
        <v>-62.53430063409273</v>
      </c>
      <c r="CB97" s="83">
        <f>LiabilityCF!CB10</f>
        <v>-63.431161127890498</v>
      </c>
      <c r="CC97" s="83">
        <f>LiabilityCF!CC10</f>
        <v>-63.645849642265631</v>
      </c>
      <c r="CD97" s="83">
        <f>LiabilityCF!CD10</f>
        <v>-63.805066066061926</v>
      </c>
      <c r="CE97" s="83">
        <f>LiabilityCF!CE10</f>
        <v>-63.865871702941135</v>
      </c>
      <c r="CF97" s="83">
        <f>LiabilityCF!CF10</f>
        <v>-64.608582678307528</v>
      </c>
      <c r="CG97" s="83">
        <f>LiabilityCF!CG10</f>
        <v>-65.37568433137163</v>
      </c>
      <c r="CH97" s="83">
        <f>LiabilityCF!CH10</f>
        <v>-64.300376025127576</v>
      </c>
      <c r="CI97" s="83">
        <f>LiabilityCF!CI10</f>
        <v>-63.670136064528542</v>
      </c>
      <c r="CJ97" s="83">
        <f>LiabilityCF!CJ10</f>
        <v>-63.311807119230167</v>
      </c>
      <c r="CK97" s="83">
        <f>LiabilityCF!CK10</f>
        <v>-62.542304575470993</v>
      </c>
      <c r="CL97" s="83">
        <f>LiabilityCF!CL10</f>
        <v>-62.176093029447117</v>
      </c>
      <c r="CM97" s="83">
        <f>LiabilityCF!CM10</f>
        <v>-61.573118630168153</v>
      </c>
      <c r="CN97" s="83">
        <f>LiabilityCF!CN10</f>
        <v>-60.798573831042397</v>
      </c>
      <c r="CO97" s="83">
        <f>LiabilityCF!CO10</f>
        <v>-59.517247821732909</v>
      </c>
      <c r="CP97" s="83">
        <f>LiabilityCF!CP10</f>
        <v>-58.147556663343515</v>
      </c>
      <c r="CQ97" s="83">
        <f>LiabilityCF!CQ10</f>
        <v>-56.441399562315134</v>
      </c>
      <c r="CR97" s="83">
        <f>LiabilityCF!CR10</f>
        <v>-55.161100979387903</v>
      </c>
      <c r="CS97" s="83">
        <f>LiabilityCF!CS10</f>
        <v>-53.327920979752996</v>
      </c>
      <c r="CT97" s="83">
        <f>LiabilityCF!CT10</f>
        <v>-51.71758944014703</v>
      </c>
      <c r="CU97" s="83">
        <f>LiabilityCF!CU10</f>
        <v>-48.431187213712398</v>
      </c>
      <c r="CV97" s="83">
        <f>LiabilityCF!CV10</f>
        <v>-45.440628414405509</v>
      </c>
      <c r="CW97" s="83">
        <f>LiabilityCF!CW10</f>
        <v>-42.101739640403174</v>
      </c>
      <c r="CX97" s="83">
        <f>LiabilityCF!CX10</f>
        <v>-39.935200462056962</v>
      </c>
      <c r="CY97" s="83">
        <f>LiabilityCF!CY10</f>
        <v>-37.960008202383079</v>
      </c>
      <c r="CZ97" s="83">
        <f>LiabilityCF!CZ10</f>
        <v>-35.115739501450051</v>
      </c>
      <c r="DA97" s="83">
        <f>LiabilityCF!DA10</f>
        <v>-31.924253379453297</v>
      </c>
      <c r="DB97" s="83">
        <f>LiabilityCF!DB10</f>
        <v>-29.525294956223007</v>
      </c>
      <c r="DC97" s="83">
        <f>LiabilityCF!DC10</f>
        <v>-27.880427522859627</v>
      </c>
      <c r="DD97" s="83">
        <f>LiabilityCF!DD10</f>
        <v>-26.573201178398165</v>
      </c>
      <c r="DE97" s="83">
        <f>LiabilityCF!DE10</f>
        <v>-25.749444134219832</v>
      </c>
      <c r="DF97" s="83">
        <f>LiabilityCF!DF10</f>
        <v>-24.787220006714598</v>
      </c>
      <c r="DG97" s="83">
        <f>LiabilityCF!DG10</f>
        <v>-24.239289500115465</v>
      </c>
      <c r="DH97" s="83">
        <f>LiabilityCF!DH10</f>
        <v>-22.52730522566247</v>
      </c>
      <c r="DI97" s="83">
        <f>LiabilityCF!DI10</f>
        <v>-20.248317349980645</v>
      </c>
      <c r="DJ97" s="83">
        <f>LiabilityCF!DJ10</f>
        <v>-18.150951973064466</v>
      </c>
      <c r="DK97" s="83">
        <f>LiabilityCF!DK10</f>
        <v>-16.923713869134716</v>
      </c>
      <c r="DL97" s="83">
        <f>LiabilityCF!DL10</f>
        <v>-14.110181735009855</v>
      </c>
      <c r="DM97" s="83">
        <f>LiabilityCF!DM10</f>
        <v>-12.024198637817738</v>
      </c>
      <c r="DN97" s="83">
        <f>LiabilityCF!DN10</f>
        <v>-11.539242737823903</v>
      </c>
      <c r="DO97" s="83">
        <f>LiabilityCF!DO10</f>
        <v>-11.381345845943665</v>
      </c>
      <c r="DP97" s="83">
        <f>LiabilityCF!DP10</f>
        <v>-11.42432348216569</v>
      </c>
      <c r="DQ97" s="83">
        <f>LiabilityCF!DQ10</f>
        <v>-11.344784295095243</v>
      </c>
      <c r="DR97" s="83">
        <f>LiabilityCF!DR10</f>
        <v>-11.318491878947647</v>
      </c>
      <c r="DS97" s="83">
        <f>LiabilityCF!DS10</f>
        <v>-11.502440733017318</v>
      </c>
      <c r="DT97" s="83">
        <f>LiabilityCF!DT10</f>
        <v>-11.325237755341533</v>
      </c>
      <c r="DU97" s="83">
        <f>LiabilityCF!DU10</f>
        <v>-10.963730931171273</v>
      </c>
      <c r="DV97" s="83">
        <f>LiabilityCF!DV10</f>
        <v>-10.592092465053991</v>
      </c>
      <c r="DW97" s="83">
        <f>LiabilityCF!DW10</f>
        <v>-10.333331885683577</v>
      </c>
      <c r="DX97" s="83">
        <f>LiabilityCF!DX10</f>
        <v>-10.376161473509612</v>
      </c>
      <c r="DY97" s="83">
        <f>LiabilityCF!DY10</f>
        <v>-9.9782633403166017</v>
      </c>
      <c r="DZ97" s="83">
        <f>LiabilityCF!DZ10</f>
        <v>-9.8053199156824533</v>
      </c>
      <c r="EA97" s="83">
        <f>LiabilityCF!EA10</f>
        <v>-9.574177779830416</v>
      </c>
      <c r="EB97" s="83">
        <f>LiabilityCF!EB10</f>
        <v>-8.1661888403965719</v>
      </c>
      <c r="EC97" s="83">
        <f>LiabilityCF!EC10</f>
        <v>-6.8625064067951937</v>
      </c>
      <c r="ED97" s="83">
        <f>LiabilityCF!ED10</f>
        <v>-6.4796277695787694</v>
      </c>
      <c r="EE97" s="83">
        <f>LiabilityCF!EE10</f>
        <v>-5.772810422983599</v>
      </c>
      <c r="EF97" s="83">
        <f>LiabilityCF!EF10</f>
        <v>-4.689994312108837</v>
      </c>
      <c r="EG97" s="83">
        <f>LiabilityCF!EG10</f>
        <v>-3.7699146805242871</v>
      </c>
      <c r="EH97" s="83">
        <f>LiabilityCF!EH10</f>
        <v>-3.1801326854978536</v>
      </c>
      <c r="EI97" s="83">
        <f>LiabilityCF!EI10</f>
        <v>-2.1064249240019821</v>
      </c>
      <c r="EJ97" s="83">
        <f>LiabilityCF!EJ10</f>
        <v>-0.6990855597656912</v>
      </c>
      <c r="EK97" s="83">
        <f>LiabilityCF!EK10</f>
        <v>-0.13927276267906194</v>
      </c>
      <c r="EL97" s="83">
        <f>LiabilityCF!EL10</f>
        <v>0</v>
      </c>
    </row>
    <row r="98" spans="2:142" s="2" customFormat="1">
      <c r="B98" s="51" t="s">
        <v>69</v>
      </c>
      <c r="C98" s="82">
        <f ca="1">OtherAssump!$C$9</f>
        <v>332.49053302727589</v>
      </c>
      <c r="D98" s="80">
        <f ca="1">C98+SUM(D91:D97)</f>
        <v>497.4259769689437</v>
      </c>
      <c r="E98" s="80">
        <f ca="1">D98+SUM(E91:E97)</f>
        <v>612.34987834234494</v>
      </c>
      <c r="F98" s="80">
        <f t="shared" ref="D98:AI98" ca="1" si="81">E98+SUM(F91:F97)</f>
        <v>702.14201627408295</v>
      </c>
      <c r="G98" s="80">
        <f t="shared" ca="1" si="81"/>
        <v>758.75212035292975</v>
      </c>
      <c r="H98" s="80">
        <f t="shared" ca="1" si="81"/>
        <v>774.85380397347194</v>
      </c>
      <c r="I98" s="80">
        <f t="shared" ca="1" si="81"/>
        <v>774.73659624372442</v>
      </c>
      <c r="J98" s="80">
        <f t="shared" ca="1" si="81"/>
        <v>766.5501834786121</v>
      </c>
      <c r="K98" s="80">
        <f t="shared" ca="1" si="81"/>
        <v>763.76397481543131</v>
      </c>
      <c r="L98" s="80">
        <f t="shared" ca="1" si="81"/>
        <v>770.25321117503381</v>
      </c>
      <c r="M98" s="80">
        <f t="shared" ca="1" si="81"/>
        <v>789.83369395168495</v>
      </c>
      <c r="N98" s="80">
        <f t="shared" ca="1" si="81"/>
        <v>818.41791449408208</v>
      </c>
      <c r="O98" s="80">
        <f t="shared" ca="1" si="81"/>
        <v>851.28239637282059</v>
      </c>
      <c r="P98" s="80">
        <f t="shared" ca="1" si="81"/>
        <v>885.94884542898399</v>
      </c>
      <c r="Q98" s="80">
        <f t="shared" ca="1" si="81"/>
        <v>921.86258638254048</v>
      </c>
      <c r="R98" s="80">
        <f t="shared" ca="1" si="81"/>
        <v>958.79602580868504</v>
      </c>
      <c r="S98" s="80">
        <f t="shared" ca="1" si="81"/>
        <v>994.54189558505846</v>
      </c>
      <c r="T98" s="80">
        <f t="shared" ca="1" si="81"/>
        <v>1029.6229341645287</v>
      </c>
      <c r="U98" s="80">
        <f t="shared" ca="1" si="81"/>
        <v>1065.1982241558997</v>
      </c>
      <c r="V98" s="80">
        <f t="shared" ca="1" si="81"/>
        <v>1101.1850551511222</v>
      </c>
      <c r="W98" s="80">
        <f t="shared" ca="1" si="81"/>
        <v>1137.3970808307583</v>
      </c>
      <c r="X98" s="80">
        <f t="shared" ca="1" si="81"/>
        <v>1173.7061414280101</v>
      </c>
      <c r="Y98" s="80">
        <f t="shared" ca="1" si="81"/>
        <v>1209.9701311130073</v>
      </c>
      <c r="Z98" s="80">
        <f t="shared" ca="1" si="81"/>
        <v>1246.1619695590043</v>
      </c>
      <c r="AA98" s="80">
        <f t="shared" ca="1" si="81"/>
        <v>1282.2674051651381</v>
      </c>
      <c r="AB98" s="80">
        <f t="shared" ca="1" si="81"/>
        <v>1317.703129918797</v>
      </c>
      <c r="AC98" s="80">
        <f t="shared" ca="1" si="81"/>
        <v>1352.6943984989884</v>
      </c>
      <c r="AD98" s="80">
        <f t="shared" ca="1" si="81"/>
        <v>1387.4886020148488</v>
      </c>
      <c r="AE98" s="80">
        <f t="shared" ca="1" si="81"/>
        <v>1422.2530785935764</v>
      </c>
      <c r="AF98" s="80">
        <f t="shared" ca="1" si="81"/>
        <v>1457.1443976103201</v>
      </c>
      <c r="AG98" s="80">
        <f t="shared" ca="1" si="81"/>
        <v>1492.0851671121154</v>
      </c>
      <c r="AH98" s="80">
        <f t="shared" ca="1" si="81"/>
        <v>1527.3464068784758</v>
      </c>
      <c r="AI98" s="80">
        <f t="shared" ca="1" si="81"/>
        <v>1562.915443677859</v>
      </c>
      <c r="AJ98" s="80">
        <f t="shared" ref="AJ98:BO98" ca="1" si="82">AI98+SUM(AJ91:AJ97)</f>
        <v>1599.2975579157924</v>
      </c>
      <c r="AK98" s="80">
        <f t="shared" ca="1" si="82"/>
        <v>1636.8095196424094</v>
      </c>
      <c r="AL98" s="80">
        <f t="shared" ca="1" si="82"/>
        <v>1675.7237860446278</v>
      </c>
      <c r="AM98" s="80">
        <f t="shared" ca="1" si="82"/>
        <v>1716.3478185726642</v>
      </c>
      <c r="AN98" s="80">
        <f t="shared" ca="1" si="82"/>
        <v>1759.0582675812843</v>
      </c>
      <c r="AO98" s="80">
        <f t="shared" ca="1" si="82"/>
        <v>1804.1758857947825</v>
      </c>
      <c r="AP98" s="80">
        <f t="shared" ca="1" si="82"/>
        <v>1852.0578410435598</v>
      </c>
      <c r="AQ98" s="80">
        <f t="shared" ca="1" si="82"/>
        <v>1903.1964163419341</v>
      </c>
      <c r="AR98" s="80">
        <f t="shared" ca="1" si="82"/>
        <v>1958.1304576814532</v>
      </c>
      <c r="AS98" s="80">
        <f t="shared" ca="1" si="82"/>
        <v>2017.4686511395189</v>
      </c>
      <c r="AT98" s="80">
        <f t="shared" ca="1" si="82"/>
        <v>2081.3979144791647</v>
      </c>
      <c r="AU98" s="80">
        <f t="shared" ca="1" si="82"/>
        <v>2150.4676832671894</v>
      </c>
      <c r="AV98" s="80">
        <f t="shared" ca="1" si="82"/>
        <v>2225.249844845287</v>
      </c>
      <c r="AW98" s="80">
        <f t="shared" ca="1" si="82"/>
        <v>2306.2945542334523</v>
      </c>
      <c r="AX98" s="80">
        <f t="shared" ca="1" si="82"/>
        <v>2394.2157582816103</v>
      </c>
      <c r="AY98" s="80">
        <f t="shared" ca="1" si="82"/>
        <v>2489.5936813434378</v>
      </c>
      <c r="AZ98" s="80">
        <f t="shared" ca="1" si="82"/>
        <v>2593.0202810151</v>
      </c>
      <c r="BA98" s="80">
        <f t="shared" ca="1" si="82"/>
        <v>2705.1030057352154</v>
      </c>
      <c r="BB98" s="80">
        <f t="shared" ca="1" si="82"/>
        <v>2826.5014724961402</v>
      </c>
      <c r="BC98" s="80">
        <f t="shared" ca="1" si="82"/>
        <v>2958.0287056172524</v>
      </c>
      <c r="BD98" s="80">
        <f t="shared" ca="1" si="82"/>
        <v>3100.4672580850752</v>
      </c>
      <c r="BE98" s="80">
        <f t="shared" ca="1" si="82"/>
        <v>3254.6541518623076</v>
      </c>
      <c r="BF98" s="80">
        <f t="shared" ca="1" si="82"/>
        <v>3421.5296797992755</v>
      </c>
      <c r="BG98" s="80">
        <f t="shared" ca="1" si="82"/>
        <v>3602.016940938141</v>
      </c>
      <c r="BH98" s="80">
        <f t="shared" ca="1" si="82"/>
        <v>3797.1175591960437</v>
      </c>
      <c r="BI98" s="80">
        <f t="shared" ca="1" si="82"/>
        <v>4007.8753438876624</v>
      </c>
      <c r="BJ98" s="80">
        <f t="shared" ca="1" si="82"/>
        <v>4235.3596251317758</v>
      </c>
      <c r="BK98" s="80">
        <f t="shared" ca="1" si="82"/>
        <v>4480.7128495900242</v>
      </c>
      <c r="BL98" s="80">
        <f t="shared" ca="1" si="82"/>
        <v>4745.2015211774642</v>
      </c>
      <c r="BM98" s="80">
        <f t="shared" ca="1" si="82"/>
        <v>5030.1835024490174</v>
      </c>
      <c r="BN98" s="80">
        <f t="shared" ca="1" si="82"/>
        <v>5337.0818731099089</v>
      </c>
      <c r="BO98" s="80">
        <f t="shared" ca="1" si="82"/>
        <v>5667.3967310100516</v>
      </c>
      <c r="BP98" s="80">
        <f t="shared" ref="BP98:CU98" ca="1" si="83">BO98+SUM(BP91:BP97)</f>
        <v>6022.8496633626182</v>
      </c>
      <c r="BQ98" s="80">
        <f t="shared" ca="1" si="83"/>
        <v>6405.1779724835724</v>
      </c>
      <c r="BR98" s="80">
        <f t="shared" ca="1" si="83"/>
        <v>6816.2361349922612</v>
      </c>
      <c r="BS98" s="80">
        <f t="shared" ca="1" si="83"/>
        <v>7257.8319677492109</v>
      </c>
      <c r="BT98" s="80">
        <f t="shared" ca="1" si="83"/>
        <v>7732.0384257279575</v>
      </c>
      <c r="BU98" s="80">
        <f t="shared" ca="1" si="83"/>
        <v>8241.1928110330882</v>
      </c>
      <c r="BV98" s="80">
        <f t="shared" ca="1" si="83"/>
        <v>8788.001594226409</v>
      </c>
      <c r="BW98" s="80">
        <f t="shared" ca="1" si="83"/>
        <v>9375.3588354537969</v>
      </c>
      <c r="BX98" s="80">
        <f t="shared" ca="1" si="83"/>
        <v>10006.435231096953</v>
      </c>
      <c r="BY98" s="80">
        <f t="shared" ca="1" si="83"/>
        <v>10684.403935926137</v>
      </c>
      <c r="BZ98" s="80">
        <f t="shared" ca="1" si="83"/>
        <v>11412.839971247577</v>
      </c>
      <c r="CA98" s="80">
        <f t="shared" ca="1" si="83"/>
        <v>12195.798655804314</v>
      </c>
      <c r="CB98" s="80">
        <f t="shared" ca="1" si="83"/>
        <v>13037.493806367136</v>
      </c>
      <c r="CC98" s="80">
        <f t="shared" ca="1" si="83"/>
        <v>13942.936441564378</v>
      </c>
      <c r="CD98" s="80">
        <f t="shared" ca="1" si="83"/>
        <v>14916.866472127049</v>
      </c>
      <c r="CE98" s="80">
        <f t="shared" ca="1" si="83"/>
        <v>15964.403183111639</v>
      </c>
      <c r="CF98" s="80">
        <f t="shared" ca="1" si="83"/>
        <v>17090.321077749551</v>
      </c>
      <c r="CG98" s="80">
        <f t="shared" ca="1" si="83"/>
        <v>18300.397889139833</v>
      </c>
      <c r="CH98" s="80">
        <f t="shared" ca="1" si="83"/>
        <v>19602.7629021182</v>
      </c>
      <c r="CI98" s="80">
        <f t="shared" ca="1" si="83"/>
        <v>21003.890398132356</v>
      </c>
      <c r="CJ98" s="80">
        <f t="shared" ca="1" si="83"/>
        <v>22510.959467473913</v>
      </c>
      <c r="CK98" s="80">
        <f t="shared" ca="1" si="83"/>
        <v>24132.382374519329</v>
      </c>
      <c r="CL98" s="80">
        <f t="shared" ca="1" si="83"/>
        <v>25876.439039034223</v>
      </c>
      <c r="CM98" s="80">
        <f t="shared" ca="1" si="83"/>
        <v>27752.752212008985</v>
      </c>
      <c r="CN98" s="80">
        <f t="shared" ca="1" si="83"/>
        <v>29771.519877116676</v>
      </c>
      <c r="CO98" s="80">
        <f t="shared" ca="1" si="83"/>
        <v>31944.169742374361</v>
      </c>
      <c r="CP98" s="80">
        <f t="shared" ca="1" si="83"/>
        <v>34282.445382195961</v>
      </c>
      <c r="CQ98" s="80">
        <f t="shared" ca="1" si="83"/>
        <v>36799.463994771897</v>
      </c>
      <c r="CR98" s="80">
        <f t="shared" ca="1" si="83"/>
        <v>39508.347566034383</v>
      </c>
      <c r="CS98" s="80">
        <f t="shared" ca="1" si="83"/>
        <v>42424.345908849929</v>
      </c>
      <c r="CT98" s="80">
        <f t="shared" ca="1" si="83"/>
        <v>45562.998685785031</v>
      </c>
      <c r="CU98" s="80">
        <f t="shared" ca="1" si="83"/>
        <v>48942.878780320782</v>
      </c>
      <c r="CV98" s="80">
        <f t="shared" ref="CV98:EA98" ca="1" si="84">CU98+SUM(CV91:CV97)</f>
        <v>52582.167958678874</v>
      </c>
      <c r="CW98" s="80">
        <f t="shared" ca="1" si="84"/>
        <v>56501.013630777234</v>
      </c>
      <c r="CX98" s="80">
        <f t="shared" ca="1" si="84"/>
        <v>60719.394604940011</v>
      </c>
      <c r="CY98" s="80">
        <f t="shared" ca="1" si="84"/>
        <v>65259.637139446975</v>
      </c>
      <c r="CZ98" s="80">
        <f t="shared" ca="1" si="84"/>
        <v>70147.235534092353</v>
      </c>
      <c r="DA98" s="80">
        <f t="shared" ca="1" si="84"/>
        <v>75408.421251421212</v>
      </c>
      <c r="DB98" s="80">
        <f t="shared" ca="1" si="84"/>
        <v>81070.510410800838</v>
      </c>
      <c r="DC98" s="80">
        <f t="shared" ca="1" si="84"/>
        <v>87162.88266701925</v>
      </c>
      <c r="DD98" s="80">
        <f t="shared" ca="1" si="84"/>
        <v>93717.523262948642</v>
      </c>
      <c r="DE98" s="80">
        <f t="shared" ca="1" si="84"/>
        <v>100768.673345748</v>
      </c>
      <c r="DF98" s="80">
        <f t="shared" ca="1" si="84"/>
        <v>108353.78188447816</v>
      </c>
      <c r="DG98" s="80">
        <f t="shared" ca="1" si="84"/>
        <v>116512.59420291666</v>
      </c>
      <c r="DH98" s="80">
        <f t="shared" ca="1" si="84"/>
        <v>125289.47118420454</v>
      </c>
      <c r="DI98" s="80">
        <f t="shared" ca="1" si="84"/>
        <v>134731.57119881347</v>
      </c>
      <c r="DJ98" s="80">
        <f t="shared" ca="1" si="84"/>
        <v>144888.90212215201</v>
      </c>
      <c r="DK98" s="80">
        <f t="shared" ca="1" si="84"/>
        <v>155814.59123833416</v>
      </c>
      <c r="DL98" s="80">
        <f t="shared" ca="1" si="84"/>
        <v>167568.24898783036</v>
      </c>
      <c r="DM98" s="80">
        <f t="shared" ca="1" si="84"/>
        <v>180211.67831996561</v>
      </c>
      <c r="DN98" s="80">
        <f t="shared" ca="1" si="84"/>
        <v>193810.47723030471</v>
      </c>
      <c r="DO98" s="80">
        <f t="shared" ca="1" si="84"/>
        <v>208436.47210758552</v>
      </c>
      <c r="DP98" s="80">
        <f t="shared" ca="1" si="84"/>
        <v>224167.0401937016</v>
      </c>
      <c r="DQ98" s="80">
        <f t="shared" ca="1" si="84"/>
        <v>241085.72598258493</v>
      </c>
      <c r="DR98" s="80">
        <f t="shared" ca="1" si="84"/>
        <v>259282.20783524317</v>
      </c>
      <c r="DS98" s="80">
        <f t="shared" ca="1" si="84"/>
        <v>278852.78000270523</v>
      </c>
      <c r="DT98" s="80">
        <f t="shared" ca="1" si="84"/>
        <v>299901.58067296032</v>
      </c>
      <c r="DU98" s="80">
        <f t="shared" ca="1" si="84"/>
        <v>322540.43613667006</v>
      </c>
      <c r="DV98" s="80">
        <f t="shared" ca="1" si="84"/>
        <v>346889.44410054095</v>
      </c>
      <c r="DW98" s="80">
        <f t="shared" ca="1" si="84"/>
        <v>373077.64954186301</v>
      </c>
      <c r="DX98" s="80">
        <f t="shared" ca="1" si="84"/>
        <v>401243.65474097896</v>
      </c>
      <c r="DY98" s="80">
        <f t="shared" ca="1" si="84"/>
        <v>431537.27211887232</v>
      </c>
      <c r="DZ98" s="80">
        <f t="shared" ca="1" si="84"/>
        <v>464118.96287346334</v>
      </c>
      <c r="EA98" s="80">
        <f t="shared" ca="1" si="84"/>
        <v>499161.59005554166</v>
      </c>
      <c r="EB98" s="80">
        <f t="shared" ref="EB98:EL98" ca="1" si="85">EA98+SUM(EB91:EB97)</f>
        <v>536852.19070313429</v>
      </c>
      <c r="EC98" s="80">
        <f t="shared" ca="1" si="85"/>
        <v>577390.64651878388</v>
      </c>
      <c r="ED98" s="80">
        <f t="shared" ca="1" si="85"/>
        <v>620991.11860824667</v>
      </c>
      <c r="EE98" s="80">
        <f t="shared" ca="1" si="85"/>
        <v>667885.18716042349</v>
      </c>
      <c r="EF98" s="80">
        <f t="shared" ca="1" si="85"/>
        <v>718321.97432677716</v>
      </c>
      <c r="EG98" s="80">
        <f t="shared" ca="1" si="85"/>
        <v>772568.87826826854</v>
      </c>
      <c r="EH98" s="80">
        <f t="shared" ca="1" si="85"/>
        <v>830913.32460996648</v>
      </c>
      <c r="EI98" s="80">
        <f t="shared" ca="1" si="85"/>
        <v>893665.2607832941</v>
      </c>
      <c r="EJ98" s="80">
        <f t="shared" ca="1" si="85"/>
        <v>961157.89244928677</v>
      </c>
      <c r="EK98" s="80">
        <f t="shared" ca="1" si="85"/>
        <v>1033748.4091931683</v>
      </c>
      <c r="EL98" s="80">
        <f t="shared" ca="1" si="85"/>
        <v>1111821.40403512</v>
      </c>
    </row>
    <row r="99" spans="2:142" s="2" customFormat="1">
      <c r="B99" s="51" t="s">
        <v>68</v>
      </c>
      <c r="C99" s="35"/>
      <c r="D99" s="79">
        <f t="shared" ref="D99:AI99" ca="1" si="86">C101*C$59+SUM(D91:D94,D96)*((1+C$59)^0.5-1)</f>
        <v>29.596888761445964</v>
      </c>
      <c r="E99" s="79">
        <f t="shared" ca="1" si="86"/>
        <v>39.80237164189532</v>
      </c>
      <c r="F99" s="79">
        <f t="shared" ca="1" si="86"/>
        <v>47.112117427209476</v>
      </c>
      <c r="G99" s="79">
        <f t="shared" ca="1" si="86"/>
        <v>52.273648213966155</v>
      </c>
      <c r="H99" s="79">
        <f t="shared" ca="1" si="86"/>
        <v>54.785583964859214</v>
      </c>
      <c r="I99" s="79">
        <f t="shared" ca="1" si="86"/>
        <v>55.274049924688654</v>
      </c>
      <c r="J99" s="79">
        <f t="shared" ca="1" si="86"/>
        <v>54.981278575342543</v>
      </c>
      <c r="K99" s="90">
        <f t="shared" ca="1" si="86"/>
        <v>54.575181744603533</v>
      </c>
      <c r="L99" s="91">
        <f t="shared" ca="1" si="86"/>
        <v>54.70747052549018</v>
      </c>
      <c r="M99" s="90">
        <f t="shared" ca="1" si="86"/>
        <v>55.627938172277538</v>
      </c>
      <c r="N99" s="90">
        <f t="shared" ca="1" si="86"/>
        <v>57.330270919011404</v>
      </c>
      <c r="O99" s="90">
        <f t="shared" ca="1" si="86"/>
        <v>59.534180736830322</v>
      </c>
      <c r="P99" s="90">
        <f t="shared" ca="1" si="86"/>
        <v>61.936352084240276</v>
      </c>
      <c r="Q99" s="90">
        <f t="shared" ca="1" si="86"/>
        <v>64.441084270504547</v>
      </c>
      <c r="R99" s="90">
        <f t="shared" ca="1" si="86"/>
        <v>67.034465400331143</v>
      </c>
      <c r="S99" s="90">
        <f t="shared" ca="1" si="86"/>
        <v>69.699785714137903</v>
      </c>
      <c r="T99" s="90">
        <f t="shared" ca="1" si="86"/>
        <v>72.274860842103834</v>
      </c>
      <c r="U99" s="90">
        <f t="shared" ca="1" si="86"/>
        <v>74.801351112368991</v>
      </c>
      <c r="V99" s="90">
        <f t="shared" ca="1" si="86"/>
        <v>77.363798080317366</v>
      </c>
      <c r="W99" s="90">
        <f t="shared" ca="1" si="86"/>
        <v>79.952342609731332</v>
      </c>
      <c r="X99" s="90">
        <f t="shared" ca="1" si="86"/>
        <v>82.555577520278163</v>
      </c>
      <c r="Y99" s="90">
        <f t="shared" ca="1" si="86"/>
        <v>85.162990679530765</v>
      </c>
      <c r="Z99" s="90">
        <f t="shared" ca="1" si="86"/>
        <v>87.76759491113981</v>
      </c>
      <c r="AA99" s="90">
        <f t="shared" ca="1" si="86"/>
        <v>90.365713316729654</v>
      </c>
      <c r="AB99" s="90">
        <f t="shared" ca="1" si="86"/>
        <v>92.954957768801364</v>
      </c>
      <c r="AC99" s="90">
        <f t="shared" ca="1" si="86"/>
        <v>95.492872640050791</v>
      </c>
      <c r="AD99" s="90">
        <f t="shared" ca="1" si="86"/>
        <v>97.995894826418791</v>
      </c>
      <c r="AE99" s="90">
        <f t="shared" ca="1" si="86"/>
        <v>100.48808349880832</v>
      </c>
      <c r="AF99" s="90">
        <f t="shared" ca="1" si="86"/>
        <v>102.98331027168919</v>
      </c>
      <c r="AG99" s="90">
        <f t="shared" ca="1" si="86"/>
        <v>105.49108875075181</v>
      </c>
      <c r="AH99" s="90">
        <f t="shared" ca="1" si="86"/>
        <v>108.00456758261008</v>
      </c>
      <c r="AI99" s="90">
        <f t="shared" ca="1" si="86"/>
        <v>110.53347494897805</v>
      </c>
      <c r="AJ99" s="90">
        <f t="shared" ref="AJ99:BO99" ca="1" si="87">AI101*AI$59+SUM(AJ91:AJ94,AJ96)*((1+AI$59)^0.5-1)</f>
        <v>113.37318799385396</v>
      </c>
      <c r="AK99" s="90">
        <f t="shared" ca="1" si="87"/>
        <v>116.29476850419604</v>
      </c>
      <c r="AL99" s="90">
        <f t="shared" ca="1" si="87"/>
        <v>119.31992288404118</v>
      </c>
      <c r="AM99" s="90">
        <f t="shared" ca="1" si="87"/>
        <v>122.47022688250995</v>
      </c>
      <c r="AN99" s="90">
        <f t="shared" ca="1" si="87"/>
        <v>125.77064589505639</v>
      </c>
      <c r="AO99" s="90">
        <f t="shared" ca="1" si="87"/>
        <v>129.24734361281719</v>
      </c>
      <c r="AP99" s="90">
        <f t="shared" ca="1" si="87"/>
        <v>132.92752632938425</v>
      </c>
      <c r="AQ99" s="90">
        <f t="shared" ca="1" si="87"/>
        <v>136.84272330764199</v>
      </c>
      <c r="AR99" s="90">
        <f t="shared" ca="1" si="87"/>
        <v>141.03189762475276</v>
      </c>
      <c r="AS99" s="90">
        <f t="shared" ca="1" si="87"/>
        <v>145.53898272448373</v>
      </c>
      <c r="AT99" s="90">
        <f t="shared" ca="1" si="87"/>
        <v>150.05125371423924</v>
      </c>
      <c r="AU99" s="90">
        <f t="shared" ca="1" si="87"/>
        <v>154.91989730656422</v>
      </c>
      <c r="AV99" s="90">
        <f t="shared" ca="1" si="87"/>
        <v>160.18574441454462</v>
      </c>
      <c r="AW99" s="90">
        <f t="shared" ca="1" si="87"/>
        <v>165.89003211053799</v>
      </c>
      <c r="AX99" s="90">
        <f t="shared" ca="1" si="87"/>
        <v>172.07515329906479</v>
      </c>
      <c r="AY99" s="90">
        <f t="shared" ca="1" si="87"/>
        <v>178.78477957469627</v>
      </c>
      <c r="AZ99" s="90">
        <f t="shared" ca="1" si="87"/>
        <v>186.06066944129728</v>
      </c>
      <c r="BA99" s="90">
        <f t="shared" ca="1" si="87"/>
        <v>193.94649477775911</v>
      </c>
      <c r="BB99" s="90">
        <f t="shared" ca="1" si="87"/>
        <v>202.49242447854485</v>
      </c>
      <c r="BC99" s="90">
        <f t="shared" ca="1" si="87"/>
        <v>211.7500326162257</v>
      </c>
      <c r="BD99" s="90">
        <f t="shared" ca="1" si="87"/>
        <v>221.77755943504292</v>
      </c>
      <c r="BE99" s="90">
        <f t="shared" ca="1" si="87"/>
        <v>232.63413923917261</v>
      </c>
      <c r="BF99" s="90">
        <f t="shared" ca="1" si="87"/>
        <v>244.38451685528293</v>
      </c>
      <c r="BG99" s="90">
        <f t="shared" ca="1" si="87"/>
        <v>257.09664769049056</v>
      </c>
      <c r="BH99" s="90">
        <f t="shared" ca="1" si="87"/>
        <v>270.84147006894841</v>
      </c>
      <c r="BI99" s="90">
        <f t="shared" ca="1" si="87"/>
        <v>285.69319229553912</v>
      </c>
      <c r="BJ99" s="90">
        <f t="shared" ca="1" si="87"/>
        <v>301.72879211237819</v>
      </c>
      <c r="BK99" s="90">
        <f t="shared" ca="1" si="87"/>
        <v>319.02943039424912</v>
      </c>
      <c r="BL99" s="90">
        <f t="shared" ca="1" si="87"/>
        <v>337.68264732440582</v>
      </c>
      <c r="BM99" s="90">
        <f t="shared" ca="1" si="87"/>
        <v>357.78436005948873</v>
      </c>
      <c r="BN99" s="90">
        <f t="shared" ca="1" si="87"/>
        <v>379.43519145621843</v>
      </c>
      <c r="BO99" s="90">
        <f t="shared" ca="1" si="87"/>
        <v>402.74104432049182</v>
      </c>
      <c r="BP99" s="90">
        <f t="shared" ref="BP99:CU99" ca="1" si="88">BO101*BO$59+SUM(BP91:BP94,BP96)*((1+BO$59)^0.5-1)</f>
        <v>427.81630842947641</v>
      </c>
      <c r="BQ99" s="90">
        <f t="shared" ca="1" si="88"/>
        <v>454.78849133989354</v>
      </c>
      <c r="BR99" s="90">
        <f t="shared" ca="1" si="88"/>
        <v>483.78993469681859</v>
      </c>
      <c r="BS99" s="90">
        <f t="shared" ca="1" si="88"/>
        <v>514.95841988231746</v>
      </c>
      <c r="BT99" s="90">
        <f t="shared" ca="1" si="88"/>
        <v>548.43315090392036</v>
      </c>
      <c r="BU99" s="90">
        <f t="shared" ca="1" si="88"/>
        <v>584.36858650506304</v>
      </c>
      <c r="BV99" s="90">
        <f t="shared" ca="1" si="88"/>
        <v>622.94389071758576</v>
      </c>
      <c r="BW99" s="90">
        <f t="shared" ca="1" si="88"/>
        <v>664.36442843011093</v>
      </c>
      <c r="BX99" s="90">
        <f t="shared" ca="1" si="88"/>
        <v>708.84828492776728</v>
      </c>
      <c r="BY99" s="90">
        <f t="shared" ca="1" si="88"/>
        <v>756.63700695941372</v>
      </c>
      <c r="BZ99" s="90">
        <f t="shared" ca="1" si="88"/>
        <v>807.96989604288171</v>
      </c>
      <c r="CA99" s="90">
        <f t="shared" ca="1" si="88"/>
        <v>863.11797681166388</v>
      </c>
      <c r="CB99" s="90">
        <f t="shared" ca="1" si="88"/>
        <v>922.38905552001472</v>
      </c>
      <c r="CC99" s="90">
        <f t="shared" ca="1" si="88"/>
        <v>986.10138044494579</v>
      </c>
      <c r="CD99" s="90">
        <f t="shared" ca="1" si="88"/>
        <v>1054.6333539036807</v>
      </c>
      <c r="CE99" s="90">
        <f t="shared" ca="1" si="88"/>
        <v>1128.3429201332051</v>
      </c>
      <c r="CF99" s="90">
        <f t="shared" ca="1" si="88"/>
        <v>1207.6192505803997</v>
      </c>
      <c r="CG99" s="90">
        <f t="shared" ca="1" si="88"/>
        <v>1292.8231478302425</v>
      </c>
      <c r="CH99" s="90">
        <f t="shared" ca="1" si="88"/>
        <v>1384.3935887566658</v>
      </c>
      <c r="CI99" s="90">
        <f t="shared" ca="1" si="88"/>
        <v>1482.9464274844242</v>
      </c>
      <c r="CJ99" s="90">
        <f t="shared" ca="1" si="88"/>
        <v>1588.9731798143853</v>
      </c>
      <c r="CK99" s="90">
        <f t="shared" ca="1" si="88"/>
        <v>1703.0174307804079</v>
      </c>
      <c r="CL99" s="90">
        <f t="shared" ca="1" si="88"/>
        <v>1825.7174761518281</v>
      </c>
      <c r="CM99" s="90">
        <f t="shared" ca="1" si="88"/>
        <v>1957.7027094090297</v>
      </c>
      <c r="CN99" s="90">
        <f t="shared" ca="1" si="88"/>
        <v>2099.6982671176233</v>
      </c>
      <c r="CO99" s="90">
        <f t="shared" ca="1" si="88"/>
        <v>2252.4803705296295</v>
      </c>
      <c r="CP99" s="90">
        <f t="shared" ca="1" si="88"/>
        <v>2416.9092343311472</v>
      </c>
      <c r="CQ99" s="90">
        <f t="shared" ca="1" si="88"/>
        <v>2593.8821450683872</v>
      </c>
      <c r="CR99" s="90">
        <f t="shared" ca="1" si="88"/>
        <v>2784.3837818782399</v>
      </c>
      <c r="CS99" s="90">
        <f t="shared" ca="1" si="88"/>
        <v>2989.4128671221324</v>
      </c>
      <c r="CT99" s="90">
        <f t="shared" ca="1" si="88"/>
        <v>3210.1203870968475</v>
      </c>
      <c r="CU99" s="90">
        <f t="shared" ca="1" si="88"/>
        <v>3447.6809597496217</v>
      </c>
      <c r="CV99" s="90">
        <f t="shared" ref="CV99:EA99" ca="1" si="89">CU101*CU$59+SUM(CV91:CV94,CV96)*((1+CU$59)^0.5-1)</f>
        <v>3703.5065116141236</v>
      </c>
      <c r="CW99" s="90">
        <f t="shared" ca="1" si="89"/>
        <v>3978.9711786124458</v>
      </c>
      <c r="CX99" s="90">
        <f t="shared" ca="1" si="89"/>
        <v>4275.593608675289</v>
      </c>
      <c r="CY99" s="90">
        <f t="shared" ca="1" si="89"/>
        <v>4594.8806832973005</v>
      </c>
      <c r="CZ99" s="90">
        <f t="shared" ca="1" si="89"/>
        <v>4938.5371058405008</v>
      </c>
      <c r="DA99" s="90">
        <f t="shared" ca="1" si="89"/>
        <v>5308.4683632565793</v>
      </c>
      <c r="DB99" s="90">
        <f t="shared" ca="1" si="89"/>
        <v>5706.6683350352259</v>
      </c>
      <c r="DC99" s="90">
        <f t="shared" ca="1" si="89"/>
        <v>6135.2029167728224</v>
      </c>
      <c r="DD99" s="90">
        <f t="shared" ca="1" si="89"/>
        <v>6596.2944518065788</v>
      </c>
      <c r="DE99" s="90">
        <f t="shared" ca="1" si="89"/>
        <v>7092.363031679829</v>
      </c>
      <c r="DF99" s="90">
        <f t="shared" ca="1" si="89"/>
        <v>7625.9999704480688</v>
      </c>
      <c r="DG99" s="90">
        <f t="shared" ca="1" si="89"/>
        <v>8200.0400880410598</v>
      </c>
      <c r="DH99" s="90">
        <f t="shared" ca="1" si="89"/>
        <v>8817.4925263429777</v>
      </c>
      <c r="DI99" s="90">
        <f t="shared" ca="1" si="89"/>
        <v>9481.7160164589295</v>
      </c>
      <c r="DJ99" s="90">
        <f t="shared" ca="1" si="89"/>
        <v>10196.280745742386</v>
      </c>
      <c r="DK99" s="90">
        <f t="shared" ca="1" si="89"/>
        <v>10964.972356832383</v>
      </c>
      <c r="DL99" s="90">
        <f t="shared" ca="1" si="89"/>
        <v>11791.811963509204</v>
      </c>
      <c r="DM99" s="90">
        <f t="shared" ca="1" si="89"/>
        <v>12681.310922102486</v>
      </c>
      <c r="DN99" s="90">
        <f t="shared" ca="1" si="89"/>
        <v>13638.146441641466</v>
      </c>
      <c r="DO99" s="90">
        <f t="shared" ca="1" si="89"/>
        <v>14667.282896920236</v>
      </c>
      <c r="DP99" s="90">
        <f t="shared" ca="1" si="89"/>
        <v>15774.155988474056</v>
      </c>
      <c r="DQ99" s="90">
        <f t="shared" ca="1" si="89"/>
        <v>16964.621506478456</v>
      </c>
      <c r="DR99" s="90">
        <f t="shared" ca="1" si="89"/>
        <v>18245.001967808876</v>
      </c>
      <c r="DS99" s="90">
        <f t="shared" ca="1" si="89"/>
        <v>19622.084096359282</v>
      </c>
      <c r="DT99" s="90">
        <f t="shared" ca="1" si="89"/>
        <v>21103.155296727353</v>
      </c>
      <c r="DU99" s="90">
        <f t="shared" ca="1" si="89"/>
        <v>22696.096582860089</v>
      </c>
      <c r="DV99" s="90">
        <f t="shared" ca="1" si="89"/>
        <v>24409.37080017152</v>
      </c>
      <c r="DW99" s="90">
        <f t="shared" ca="1" si="89"/>
        <v>26252.066762828319</v>
      </c>
      <c r="DX99" s="90">
        <f t="shared" ca="1" si="89"/>
        <v>28233.950400340644</v>
      </c>
      <c r="DY99" s="90">
        <f t="shared" ca="1" si="89"/>
        <v>30365.510925082432</v>
      </c>
      <c r="DZ99" s="90">
        <f t="shared" ca="1" si="89"/>
        <v>32658.085905800675</v>
      </c>
      <c r="EA99" s="90">
        <f t="shared" ca="1" si="89"/>
        <v>35123.818809043376</v>
      </c>
      <c r="EB99" s="90">
        <f t="shared" ref="EB99:EL99" ca="1" si="90">EA101*EA$59+SUM(EB91:EB94,EB96)*((1+EA$59)^0.5-1)</f>
        <v>37775.791645559053</v>
      </c>
      <c r="EC99" s="90">
        <f t="shared" ca="1" si="90"/>
        <v>40628.15908217118</v>
      </c>
      <c r="ED99" s="90">
        <f t="shared" ca="1" si="90"/>
        <v>43696.047875732569</v>
      </c>
      <c r="EE99" s="90">
        <f t="shared" ca="1" si="90"/>
        <v>46995.665423529652</v>
      </c>
      <c r="EF99" s="90">
        <f t="shared" ca="1" si="90"/>
        <v>50544.537350009436</v>
      </c>
      <c r="EG99" s="90">
        <f t="shared" ca="1" si="90"/>
        <v>54361.516839958182</v>
      </c>
      <c r="EH99" s="90">
        <f t="shared" ca="1" si="90"/>
        <v>58466.840186086578</v>
      </c>
      <c r="EI99" s="90">
        <f t="shared" ca="1" si="90"/>
        <v>62882.259325712468</v>
      </c>
      <c r="EJ99" s="90">
        <f t="shared" ca="1" si="90"/>
        <v>67631.230601354298</v>
      </c>
      <c r="EK99" s="90">
        <f t="shared" ca="1" si="90"/>
        <v>72738.970512692016</v>
      </c>
      <c r="EL99" s="90">
        <f t="shared" ca="1" si="90"/>
        <v>78232.510638307576</v>
      </c>
    </row>
    <row r="100" spans="2:142" s="2" customFormat="1">
      <c r="B100" s="51" t="s">
        <v>67</v>
      </c>
      <c r="C100" s="35"/>
      <c r="D100" s="89">
        <f t="shared" ref="D100:AI100" si="91">D97</f>
        <v>-0.96921908197227757</v>
      </c>
      <c r="E100" s="77">
        <f t="shared" si="91"/>
        <v>-1.2922209406512524</v>
      </c>
      <c r="F100" s="77">
        <f t="shared" si="91"/>
        <v>-1.5408614053341843</v>
      </c>
      <c r="G100" s="77">
        <f t="shared" si="91"/>
        <v>-1.7148611278094343</v>
      </c>
      <c r="H100" s="77">
        <f t="shared" si="91"/>
        <v>-1.801929405702154</v>
      </c>
      <c r="I100" s="77">
        <f t="shared" si="91"/>
        <v>-1.8191060229552873</v>
      </c>
      <c r="J100" s="77">
        <f t="shared" si="91"/>
        <v>-1.8043698538130426</v>
      </c>
      <c r="K100" s="87">
        <f t="shared" si="91"/>
        <v>-1.7928080999944858</v>
      </c>
      <c r="L100" s="88">
        <f t="shared" si="91"/>
        <v>-1.8055503644655482</v>
      </c>
      <c r="M100" s="87">
        <f t="shared" si="91"/>
        <v>-1.8726620401580021</v>
      </c>
      <c r="N100" s="87">
        <f t="shared" si="91"/>
        <v>-2.0277039312372662</v>
      </c>
      <c r="O100" s="87">
        <f t="shared" si="91"/>
        <v>-2.1616269641003383</v>
      </c>
      <c r="P100" s="87">
        <f t="shared" si="91"/>
        <v>-2.2597224506426428</v>
      </c>
      <c r="Q100" s="87">
        <f t="shared" si="91"/>
        <v>-2.3619316177003755</v>
      </c>
      <c r="R100" s="87">
        <f t="shared" si="91"/>
        <v>-2.6011460978689187</v>
      </c>
      <c r="S100" s="87">
        <f t="shared" si="91"/>
        <v>-4.9209951655972226</v>
      </c>
      <c r="T100" s="87">
        <f t="shared" si="91"/>
        <v>-6.445368973348482</v>
      </c>
      <c r="U100" s="87">
        <f t="shared" si="91"/>
        <v>-6.6522127685619834</v>
      </c>
      <c r="V100" s="87">
        <f t="shared" si="91"/>
        <v>-6.8607565614966193</v>
      </c>
      <c r="W100" s="87">
        <f t="shared" si="91"/>
        <v>-7.097013957104136</v>
      </c>
      <c r="X100" s="87">
        <f t="shared" si="91"/>
        <v>-7.3347951350813103</v>
      </c>
      <c r="Y100" s="87">
        <f t="shared" si="91"/>
        <v>-7.5452591172405876</v>
      </c>
      <c r="Z100" s="87">
        <f t="shared" si="91"/>
        <v>-7.7542294469892195</v>
      </c>
      <c r="AA100" s="87">
        <f t="shared" si="91"/>
        <v>-7.9777603288121854</v>
      </c>
      <c r="AB100" s="87">
        <f t="shared" si="91"/>
        <v>-8.7518916661656121</v>
      </c>
      <c r="AC100" s="87">
        <f t="shared" si="91"/>
        <v>-9.2614304533673479</v>
      </c>
      <c r="AD100" s="87">
        <f t="shared" si="91"/>
        <v>-9.501425017682319</v>
      </c>
      <c r="AE100" s="87">
        <f t="shared" si="91"/>
        <v>-9.7416846252891798</v>
      </c>
      <c r="AF100" s="87">
        <f t="shared" si="91"/>
        <v>-9.9841743388144142</v>
      </c>
      <c r="AG100" s="87">
        <f t="shared" si="91"/>
        <v>-10.407423943581851</v>
      </c>
      <c r="AH100" s="87">
        <f t="shared" si="91"/>
        <v>-10.744186174297218</v>
      </c>
      <c r="AI100" s="87">
        <f t="shared" si="91"/>
        <v>-11.005778444672391</v>
      </c>
      <c r="AJ100" s="87">
        <f t="shared" ref="AJ100:BO100" si="92">AJ97</f>
        <v>-11.273226274141972</v>
      </c>
      <c r="AK100" s="87">
        <f t="shared" si="92"/>
        <v>-11.549689824125336</v>
      </c>
      <c r="AL100" s="87">
        <f t="shared" si="92"/>
        <v>-11.838415988843643</v>
      </c>
      <c r="AM100" s="87">
        <f t="shared" si="92"/>
        <v>-12.143244540799826</v>
      </c>
      <c r="AN100" s="87">
        <f t="shared" si="92"/>
        <v>-12.46362169667661</v>
      </c>
      <c r="AO100" s="87">
        <f t="shared" si="92"/>
        <v>-12.801697797673771</v>
      </c>
      <c r="AP100" s="87">
        <f t="shared" si="92"/>
        <v>-13.166548707917805</v>
      </c>
      <c r="AQ100" s="87">
        <f t="shared" si="92"/>
        <v>-13.560752775789167</v>
      </c>
      <c r="AR100" s="87">
        <f t="shared" si="92"/>
        <v>-13.986609285440631</v>
      </c>
      <c r="AS100" s="87">
        <f t="shared" si="92"/>
        <v>-14.449583893561561</v>
      </c>
      <c r="AT100" s="87">
        <f t="shared" si="92"/>
        <v>-14.950466082411115</v>
      </c>
      <c r="AU100" s="87">
        <f t="shared" si="92"/>
        <v>-15.491819145683708</v>
      </c>
      <c r="AV100" s="87">
        <f t="shared" si="92"/>
        <v>-16.077757352537212</v>
      </c>
      <c r="AW100" s="87">
        <f t="shared" si="92"/>
        <v>-16.714012509777419</v>
      </c>
      <c r="AX100" s="87">
        <f t="shared" si="92"/>
        <v>-17.402366858725568</v>
      </c>
      <c r="AY100" s="87">
        <f t="shared" si="92"/>
        <v>-18.144572167409148</v>
      </c>
      <c r="AZ100" s="87">
        <f t="shared" si="92"/>
        <v>-18.946393119335166</v>
      </c>
      <c r="BA100" s="87">
        <f t="shared" si="92"/>
        <v>-19.810032851459237</v>
      </c>
      <c r="BB100" s="87">
        <f t="shared" si="92"/>
        <v>-20.742569580837618</v>
      </c>
      <c r="BC100" s="87">
        <f t="shared" si="92"/>
        <v>-21.747115311650361</v>
      </c>
      <c r="BD100" s="87">
        <f t="shared" si="92"/>
        <v>-22.828329687170896</v>
      </c>
      <c r="BE100" s="87">
        <f t="shared" si="92"/>
        <v>-23.988717105903831</v>
      </c>
      <c r="BF100" s="87">
        <f t="shared" si="92"/>
        <v>-25.227342331957288</v>
      </c>
      <c r="BG100" s="87">
        <f t="shared" si="92"/>
        <v>-26.542950725360718</v>
      </c>
      <c r="BH100" s="87">
        <f t="shared" si="92"/>
        <v>-27.956862790689737</v>
      </c>
      <c r="BI100" s="87">
        <f t="shared" si="92"/>
        <v>-29.458058112701355</v>
      </c>
      <c r="BJ100" s="87">
        <f t="shared" si="92"/>
        <v>-31.043552577364999</v>
      </c>
      <c r="BK100" s="87">
        <f t="shared" si="92"/>
        <v>-32.727559269875975</v>
      </c>
      <c r="BL100" s="87">
        <f t="shared" si="92"/>
        <v>-34.502496809846271</v>
      </c>
      <c r="BM100" s="87">
        <f t="shared" si="92"/>
        <v>-36.374621297151386</v>
      </c>
      <c r="BN100" s="87">
        <f t="shared" si="92"/>
        <v>-38.321568783919126</v>
      </c>
      <c r="BO100" s="87">
        <f t="shared" si="92"/>
        <v>-40.323714053791051</v>
      </c>
      <c r="BP100" s="87">
        <f t="shared" ref="BP100:CU100" si="93">BP97</f>
        <v>-42.297000332844412</v>
      </c>
      <c r="BQ100" s="87">
        <f t="shared" si="93"/>
        <v>-44.278157005773394</v>
      </c>
      <c r="BR100" s="87">
        <f t="shared" si="93"/>
        <v>-46.305354507537153</v>
      </c>
      <c r="BS100" s="87">
        <f t="shared" si="93"/>
        <v>-48.493752473686584</v>
      </c>
      <c r="BT100" s="87">
        <f t="shared" si="93"/>
        <v>-50.781461920511859</v>
      </c>
      <c r="BU100" s="87">
        <f t="shared" si="93"/>
        <v>-52.993170911051834</v>
      </c>
      <c r="BV100" s="87">
        <f t="shared" si="93"/>
        <v>-54.999951998092392</v>
      </c>
      <c r="BW100" s="87">
        <f t="shared" si="93"/>
        <v>-56.833841582542902</v>
      </c>
      <c r="BX100" s="87">
        <f t="shared" si="93"/>
        <v>-58.410727689033941</v>
      </c>
      <c r="BY100" s="87">
        <f t="shared" si="93"/>
        <v>-60.012121614431294</v>
      </c>
      <c r="BZ100" s="87">
        <f t="shared" si="93"/>
        <v>-61.452332364929362</v>
      </c>
      <c r="CA100" s="87">
        <f t="shared" si="93"/>
        <v>-62.53430063409273</v>
      </c>
      <c r="CB100" s="87">
        <f t="shared" si="93"/>
        <v>-63.431161127890498</v>
      </c>
      <c r="CC100" s="87">
        <f t="shared" si="93"/>
        <v>-63.645849642265631</v>
      </c>
      <c r="CD100" s="87">
        <f t="shared" si="93"/>
        <v>-63.805066066061926</v>
      </c>
      <c r="CE100" s="87">
        <f t="shared" si="93"/>
        <v>-63.865871702941135</v>
      </c>
      <c r="CF100" s="87">
        <f t="shared" si="93"/>
        <v>-64.608582678307528</v>
      </c>
      <c r="CG100" s="87">
        <f t="shared" si="93"/>
        <v>-65.37568433137163</v>
      </c>
      <c r="CH100" s="87">
        <f t="shared" si="93"/>
        <v>-64.300376025127576</v>
      </c>
      <c r="CI100" s="87">
        <f t="shared" si="93"/>
        <v>-63.670136064528542</v>
      </c>
      <c r="CJ100" s="87">
        <f t="shared" si="93"/>
        <v>-63.311807119230167</v>
      </c>
      <c r="CK100" s="87">
        <f t="shared" si="93"/>
        <v>-62.542304575470993</v>
      </c>
      <c r="CL100" s="87">
        <f t="shared" si="93"/>
        <v>-62.176093029447117</v>
      </c>
      <c r="CM100" s="87">
        <f t="shared" si="93"/>
        <v>-61.573118630168153</v>
      </c>
      <c r="CN100" s="87">
        <f t="shared" si="93"/>
        <v>-60.798573831042397</v>
      </c>
      <c r="CO100" s="87">
        <f t="shared" si="93"/>
        <v>-59.517247821732909</v>
      </c>
      <c r="CP100" s="87">
        <f t="shared" si="93"/>
        <v>-58.147556663343515</v>
      </c>
      <c r="CQ100" s="87">
        <f t="shared" si="93"/>
        <v>-56.441399562315134</v>
      </c>
      <c r="CR100" s="87">
        <f t="shared" si="93"/>
        <v>-55.161100979387903</v>
      </c>
      <c r="CS100" s="87">
        <f t="shared" si="93"/>
        <v>-53.327920979752996</v>
      </c>
      <c r="CT100" s="87">
        <f t="shared" si="93"/>
        <v>-51.71758944014703</v>
      </c>
      <c r="CU100" s="87">
        <f t="shared" si="93"/>
        <v>-48.431187213712398</v>
      </c>
      <c r="CV100" s="87">
        <f t="shared" ref="CV100:EA100" si="94">CV97</f>
        <v>-45.440628414405509</v>
      </c>
      <c r="CW100" s="87">
        <f t="shared" si="94"/>
        <v>-42.101739640403174</v>
      </c>
      <c r="CX100" s="87">
        <f t="shared" si="94"/>
        <v>-39.935200462056962</v>
      </c>
      <c r="CY100" s="87">
        <f t="shared" si="94"/>
        <v>-37.960008202383079</v>
      </c>
      <c r="CZ100" s="87">
        <f t="shared" si="94"/>
        <v>-35.115739501450051</v>
      </c>
      <c r="DA100" s="87">
        <f t="shared" si="94"/>
        <v>-31.924253379453297</v>
      </c>
      <c r="DB100" s="87">
        <f t="shared" si="94"/>
        <v>-29.525294956223007</v>
      </c>
      <c r="DC100" s="87">
        <f t="shared" si="94"/>
        <v>-27.880427522859627</v>
      </c>
      <c r="DD100" s="87">
        <f t="shared" si="94"/>
        <v>-26.573201178398165</v>
      </c>
      <c r="DE100" s="87">
        <f t="shared" si="94"/>
        <v>-25.749444134219832</v>
      </c>
      <c r="DF100" s="87">
        <f t="shared" si="94"/>
        <v>-24.787220006714598</v>
      </c>
      <c r="DG100" s="87">
        <f t="shared" si="94"/>
        <v>-24.239289500115465</v>
      </c>
      <c r="DH100" s="87">
        <f t="shared" si="94"/>
        <v>-22.52730522566247</v>
      </c>
      <c r="DI100" s="87">
        <f t="shared" si="94"/>
        <v>-20.248317349980645</v>
      </c>
      <c r="DJ100" s="87">
        <f t="shared" si="94"/>
        <v>-18.150951973064466</v>
      </c>
      <c r="DK100" s="87">
        <f t="shared" si="94"/>
        <v>-16.923713869134716</v>
      </c>
      <c r="DL100" s="87">
        <f t="shared" si="94"/>
        <v>-14.110181735009855</v>
      </c>
      <c r="DM100" s="87">
        <f t="shared" si="94"/>
        <v>-12.024198637817738</v>
      </c>
      <c r="DN100" s="87">
        <f t="shared" si="94"/>
        <v>-11.539242737823903</v>
      </c>
      <c r="DO100" s="87">
        <f t="shared" si="94"/>
        <v>-11.381345845943665</v>
      </c>
      <c r="DP100" s="87">
        <f t="shared" si="94"/>
        <v>-11.42432348216569</v>
      </c>
      <c r="DQ100" s="87">
        <f t="shared" si="94"/>
        <v>-11.344784295095243</v>
      </c>
      <c r="DR100" s="87">
        <f t="shared" si="94"/>
        <v>-11.318491878947647</v>
      </c>
      <c r="DS100" s="87">
        <f t="shared" si="94"/>
        <v>-11.502440733017318</v>
      </c>
      <c r="DT100" s="87">
        <f t="shared" si="94"/>
        <v>-11.325237755341533</v>
      </c>
      <c r="DU100" s="87">
        <f t="shared" si="94"/>
        <v>-10.963730931171273</v>
      </c>
      <c r="DV100" s="87">
        <f t="shared" si="94"/>
        <v>-10.592092465053991</v>
      </c>
      <c r="DW100" s="87">
        <f t="shared" si="94"/>
        <v>-10.333331885683577</v>
      </c>
      <c r="DX100" s="87">
        <f t="shared" si="94"/>
        <v>-10.376161473509612</v>
      </c>
      <c r="DY100" s="87">
        <f t="shared" si="94"/>
        <v>-9.9782633403166017</v>
      </c>
      <c r="DZ100" s="87">
        <f t="shared" si="94"/>
        <v>-9.8053199156824533</v>
      </c>
      <c r="EA100" s="87">
        <f t="shared" si="94"/>
        <v>-9.574177779830416</v>
      </c>
      <c r="EB100" s="87">
        <f t="shared" ref="EB100:EL100" si="95">EB97</f>
        <v>-8.1661888403965719</v>
      </c>
      <c r="EC100" s="87">
        <f t="shared" si="95"/>
        <v>-6.8625064067951937</v>
      </c>
      <c r="ED100" s="87">
        <f t="shared" si="95"/>
        <v>-6.4796277695787694</v>
      </c>
      <c r="EE100" s="87">
        <f t="shared" si="95"/>
        <v>-5.772810422983599</v>
      </c>
      <c r="EF100" s="87">
        <f t="shared" si="95"/>
        <v>-4.689994312108837</v>
      </c>
      <c r="EG100" s="87">
        <f t="shared" si="95"/>
        <v>-3.7699146805242871</v>
      </c>
      <c r="EH100" s="87">
        <f t="shared" si="95"/>
        <v>-3.1801326854978536</v>
      </c>
      <c r="EI100" s="87">
        <f t="shared" si="95"/>
        <v>-2.1064249240019821</v>
      </c>
      <c r="EJ100" s="87">
        <f t="shared" si="95"/>
        <v>-0.6990855597656912</v>
      </c>
      <c r="EK100" s="87">
        <f t="shared" si="95"/>
        <v>-0.13927276267906194</v>
      </c>
      <c r="EL100" s="87">
        <f t="shared" si="95"/>
        <v>0</v>
      </c>
    </row>
    <row r="101" spans="2:142" s="2" customFormat="1">
      <c r="B101" s="51" t="s">
        <v>66</v>
      </c>
      <c r="C101" s="82">
        <f ca="1">OtherAssump!$C$9</f>
        <v>332.49053302727589</v>
      </c>
      <c r="D101" s="77">
        <f t="shared" ref="D101:AI101" ca="1" si="96">D98-D95-D97+SUM(D99:D100)</f>
        <v>499.96059570398052</v>
      </c>
      <c r="E101" s="77">
        <f t="shared" ca="1" si="96"/>
        <v>615.09348118303728</v>
      </c>
      <c r="F101" s="77">
        <f t="shared" ca="1" si="96"/>
        <v>704.14082568088713</v>
      </c>
      <c r="G101" s="77">
        <f t="shared" ca="1" si="96"/>
        <v>759.88126098749353</v>
      </c>
      <c r="H101" s="77">
        <f t="shared" ca="1" si="96"/>
        <v>774.65879489858571</v>
      </c>
      <c r="I101" s="77">
        <f t="shared" ca="1" si="96"/>
        <v>774.60596595932873</v>
      </c>
      <c r="J101" s="77">
        <f t="shared" ca="1" si="96"/>
        <v>766.24759426771345</v>
      </c>
      <c r="K101" s="87">
        <f t="shared" ca="1" si="96"/>
        <v>763.49189822801623</v>
      </c>
      <c r="L101" s="88">
        <f t="shared" ca="1" si="96"/>
        <v>770.08334175696132</v>
      </c>
      <c r="M101" s="87">
        <f t="shared" ca="1" si="96"/>
        <v>789.37807654878691</v>
      </c>
      <c r="N101" s="87">
        <f t="shared" ca="1" si="96"/>
        <v>818.14392999727977</v>
      </c>
      <c r="O101" s="87">
        <f t="shared" ca="1" si="96"/>
        <v>850.9771687159764</v>
      </c>
      <c r="P101" s="87">
        <f t="shared" ca="1" si="96"/>
        <v>885.50783071306466</v>
      </c>
      <c r="Q101" s="87">
        <f t="shared" ca="1" si="96"/>
        <v>921.30973602856147</v>
      </c>
      <c r="R101" s="87">
        <f t="shared" ca="1" si="96"/>
        <v>958.16572250948934</v>
      </c>
      <c r="S101" s="87">
        <f t="shared" ca="1" si="96"/>
        <v>993.86942891312879</v>
      </c>
      <c r="T101" s="87">
        <f t="shared" ca="1" si="96"/>
        <v>1028.9494052015916</v>
      </c>
      <c r="U101" s="87">
        <f t="shared" ca="1" si="96"/>
        <v>1064.5642639218486</v>
      </c>
      <c r="V101" s="87">
        <f t="shared" ca="1" si="96"/>
        <v>1100.6096655613144</v>
      </c>
      <c r="W101" s="87">
        <f t="shared" ca="1" si="96"/>
        <v>1136.907708388695</v>
      </c>
      <c r="X101" s="87">
        <f t="shared" ca="1" si="96"/>
        <v>1173.3346288367761</v>
      </c>
      <c r="Y101" s="87">
        <f t="shared" ca="1" si="96"/>
        <v>1209.7428292668139</v>
      </c>
      <c r="Z101" s="87">
        <f t="shared" ca="1" si="96"/>
        <v>1246.065330117596</v>
      </c>
      <c r="AA101" s="87">
        <f t="shared" ca="1" si="96"/>
        <v>1282.290349329018</v>
      </c>
      <c r="AB101" s="87">
        <f t="shared" ca="1" si="96"/>
        <v>1317.8233662998575</v>
      </c>
      <c r="AC101" s="87">
        <f t="shared" ca="1" si="96"/>
        <v>1352.8940621262673</v>
      </c>
      <c r="AD101" s="87">
        <f t="shared" ca="1" si="96"/>
        <v>1387.7344949028047</v>
      </c>
      <c r="AE101" s="87">
        <f t="shared" ca="1" si="96"/>
        <v>1422.5370002727898</v>
      </c>
      <c r="AF101" s="87">
        <f t="shared" ca="1" si="96"/>
        <v>1457.4715673830658</v>
      </c>
      <c r="AG101" s="87">
        <f t="shared" ca="1" si="96"/>
        <v>1492.4418621557209</v>
      </c>
      <c r="AH101" s="87">
        <f t="shared" ca="1" si="96"/>
        <v>1527.6381829626582</v>
      </c>
      <c r="AI101" s="87">
        <f t="shared" ca="1" si="96"/>
        <v>1563.2106330199483</v>
      </c>
      <c r="AJ101" s="87">
        <f t="shared" ref="AJ101:BO101" ca="1" si="97">AJ98-AJ95-AJ97+SUM(AJ99:AJ100)</f>
        <v>1599.5975236649799</v>
      </c>
      <c r="AK101" s="87">
        <f t="shared" ca="1" si="97"/>
        <v>1637.1148261660796</v>
      </c>
      <c r="AL101" s="87">
        <f t="shared" ca="1" si="97"/>
        <v>1676.0346057513507</v>
      </c>
      <c r="AM101" s="87">
        <f t="shared" ca="1" si="97"/>
        <v>1716.6641309665092</v>
      </c>
      <c r="AN101" s="87">
        <f t="shared" ca="1" si="97"/>
        <v>1759.3685971286995</v>
      </c>
      <c r="AO101" s="87">
        <f t="shared" ca="1" si="97"/>
        <v>1804.4891465225598</v>
      </c>
      <c r="AP101" s="87">
        <f t="shared" ca="1" si="97"/>
        <v>1852.3758329272823</v>
      </c>
      <c r="AQ101" s="87">
        <f t="shared" ca="1" si="97"/>
        <v>1903.517975138165</v>
      </c>
      <c r="AR101" s="87">
        <f t="shared" ca="1" si="97"/>
        <v>1958.456864878706</v>
      </c>
      <c r="AS101" s="87">
        <f t="shared" ca="1" si="97"/>
        <v>2017.8004977338121</v>
      </c>
      <c r="AT101" s="87">
        <f t="shared" ca="1" si="97"/>
        <v>2081.7391168819645</v>
      </c>
      <c r="AU101" s="87">
        <f t="shared" ca="1" si="97"/>
        <v>2150.8184170912482</v>
      </c>
      <c r="AV101" s="87">
        <f t="shared" ca="1" si="97"/>
        <v>2225.612152477051</v>
      </c>
      <c r="AW101" s="87">
        <f t="shared" ca="1" si="97"/>
        <v>2306.6690913490211</v>
      </c>
      <c r="AX101" s="87">
        <f t="shared" ca="1" si="97"/>
        <v>2394.6033923976338</v>
      </c>
      <c r="AY101" s="87">
        <f t="shared" ca="1" si="97"/>
        <v>2489.9955309203015</v>
      </c>
      <c r="AZ101" s="87">
        <f t="shared" ca="1" si="97"/>
        <v>2593.4034468958689</v>
      </c>
      <c r="BA101" s="87">
        <f t="shared" ca="1" si="97"/>
        <v>2705.4997085476293</v>
      </c>
      <c r="BB101" s="87">
        <f t="shared" ca="1" si="97"/>
        <v>2826.9153970223497</v>
      </c>
      <c r="BC101" s="87">
        <f t="shared" ca="1" si="97"/>
        <v>2958.461479138703</v>
      </c>
      <c r="BD101" s="87">
        <f t="shared" ca="1" si="97"/>
        <v>3100.920463010822</v>
      </c>
      <c r="BE101" s="87">
        <f t="shared" ca="1" si="97"/>
        <v>3255.1294793228162</v>
      </c>
      <c r="BF101" s="87">
        <f t="shared" ca="1" si="97"/>
        <v>3422.0289518329214</v>
      </c>
      <c r="BG101" s="87">
        <f t="shared" ca="1" si="97"/>
        <v>3602.5421184095576</v>
      </c>
      <c r="BH101" s="87">
        <f t="shared" ca="1" si="97"/>
        <v>3797.6707479040642</v>
      </c>
      <c r="BI101" s="87">
        <f t="shared" ca="1" si="97"/>
        <v>4008.4588013164557</v>
      </c>
      <c r="BJ101" s="87">
        <f t="shared" ca="1" si="97"/>
        <v>4235.9757662253987</v>
      </c>
      <c r="BK101" s="87">
        <f t="shared" ca="1" si="97"/>
        <v>4481.3642550426966</v>
      </c>
      <c r="BL101" s="87">
        <f t="shared" ca="1" si="97"/>
        <v>4745.8909501250082</v>
      </c>
      <c r="BM101" s="87">
        <f t="shared" ca="1" si="97"/>
        <v>5030.9139093428348</v>
      </c>
      <c r="BN101" s="87">
        <f t="shared" ca="1" si="97"/>
        <v>5337.856417987352</v>
      </c>
      <c r="BO101" s="87">
        <f t="shared" ca="1" si="97"/>
        <v>5668.2187902682281</v>
      </c>
      <c r="BP101" s="87">
        <f t="shared" ref="BP101:CU101" ca="1" si="98">BP98-BP95-BP97+SUM(BP99:BP100)</f>
        <v>6023.7228465717326</v>
      </c>
      <c r="BQ101" s="87">
        <f t="shared" ca="1" si="98"/>
        <v>6406.1061486490871</v>
      </c>
      <c r="BR101" s="87">
        <f t="shared" ca="1" si="98"/>
        <v>6817.2234435794244</v>
      </c>
      <c r="BS101" s="87">
        <f t="shared" ca="1" si="98"/>
        <v>7258.882829944554</v>
      </c>
      <c r="BT101" s="87">
        <f t="shared" ca="1" si="98"/>
        <v>7733.1575478190316</v>
      </c>
      <c r="BU101" s="87">
        <f t="shared" ca="1" si="98"/>
        <v>8242.3852137468148</v>
      </c>
      <c r="BV101" s="87">
        <f t="shared" ca="1" si="98"/>
        <v>8789.2726616222353</v>
      </c>
      <c r="BW101" s="87">
        <f t="shared" ca="1" si="98"/>
        <v>9376.7143683471841</v>
      </c>
      <c r="BX101" s="87">
        <f t="shared" ca="1" si="98"/>
        <v>10007.881475259755</v>
      </c>
      <c r="BY101" s="87">
        <f t="shared" ca="1" si="98"/>
        <v>10685.947628609421</v>
      </c>
      <c r="BZ101" s="87">
        <f t="shared" ca="1" si="98"/>
        <v>11414.488340521169</v>
      </c>
      <c r="CA101" s="87">
        <f t="shared" ca="1" si="98"/>
        <v>12197.559480603566</v>
      </c>
      <c r="CB101" s="87">
        <f t="shared" ca="1" si="98"/>
        <v>13039.375490744391</v>
      </c>
      <c r="CC101" s="87">
        <f t="shared" ca="1" si="98"/>
        <v>13944.94804014566</v>
      </c>
      <c r="CD101" s="87">
        <f t="shared" ca="1" si="98"/>
        <v>14919.017806081445</v>
      </c>
      <c r="CE101" s="87">
        <f t="shared" ca="1" si="98"/>
        <v>15966.704810123414</v>
      </c>
      <c r="CF101" s="87">
        <f t="shared" ca="1" si="98"/>
        <v>17092.78434886588</v>
      </c>
      <c r="CG101" s="87">
        <f t="shared" ca="1" si="98"/>
        <v>18303.034899359431</v>
      </c>
      <c r="CH101" s="87">
        <f t="shared" ca="1" si="98"/>
        <v>19605.58663478688</v>
      </c>
      <c r="CI101" s="87">
        <f t="shared" ca="1" si="98"/>
        <v>21006.915071211406</v>
      </c>
      <c r="CJ101" s="87">
        <f t="shared" ca="1" si="98"/>
        <v>22514.200323939775</v>
      </c>
      <c r="CK101" s="87">
        <f t="shared" ca="1" si="98"/>
        <v>24135.855765289649</v>
      </c>
      <c r="CL101" s="87">
        <f t="shared" ca="1" si="98"/>
        <v>25880.162608737701</v>
      </c>
      <c r="CM101" s="87">
        <f t="shared" ca="1" si="98"/>
        <v>27756.744896101187</v>
      </c>
      <c r="CN101" s="87">
        <f t="shared" ca="1" si="98"/>
        <v>29775.802083372273</v>
      </c>
      <c r="CO101" s="87">
        <f t="shared" ca="1" si="98"/>
        <v>31948.76346118571</v>
      </c>
      <c r="CP101" s="87">
        <f t="shared" ca="1" si="98"/>
        <v>34287.374354446612</v>
      </c>
      <c r="CQ101" s="87">
        <f t="shared" ca="1" si="98"/>
        <v>36804.753794350647</v>
      </c>
      <c r="CR101" s="87">
        <f t="shared" ca="1" si="98"/>
        <v>39514.025772308283</v>
      </c>
      <c r="CS101" s="87">
        <f t="shared" ca="1" si="98"/>
        <v>42430.442145850415</v>
      </c>
      <c r="CT101" s="87">
        <f t="shared" ca="1" si="98"/>
        <v>45569.544914128208</v>
      </c>
      <c r="CU101" s="87">
        <f t="shared" ca="1" si="98"/>
        <v>48949.909363998915</v>
      </c>
      <c r="CV101" s="87">
        <f t="shared" ref="CV101:EA101" ca="1" si="99">CV98-CV95-CV97+SUM(CV99:CV100)</f>
        <v>52589.720119734404</v>
      </c>
      <c r="CW101" s="87">
        <f t="shared" ca="1" si="99"/>
        <v>56509.127412276423</v>
      </c>
      <c r="CX101" s="87">
        <f t="shared" ca="1" si="99"/>
        <v>60728.113142287853</v>
      </c>
      <c r="CY101" s="87">
        <f t="shared" ca="1" si="99"/>
        <v>65269.006658538106</v>
      </c>
      <c r="CZ101" s="87">
        <f t="shared" ca="1" si="99"/>
        <v>70157.305725520971</v>
      </c>
      <c r="DA101" s="87">
        <f t="shared" ca="1" si="99"/>
        <v>75419.245680712062</v>
      </c>
      <c r="DB101" s="87">
        <f t="shared" ca="1" si="99"/>
        <v>81082.146715863477</v>
      </c>
      <c r="DC101" s="87">
        <f t="shared" ca="1" si="99"/>
        <v>87175.392709931271</v>
      </c>
      <c r="DD101" s="87">
        <f t="shared" ca="1" si="99"/>
        <v>93730.973438005181</v>
      </c>
      <c r="DE101" s="87">
        <f t="shared" ca="1" si="99"/>
        <v>100783.13497760201</v>
      </c>
      <c r="DF101" s="87">
        <f t="shared" ca="1" si="99"/>
        <v>108369.33158279932</v>
      </c>
      <c r="DG101" s="87">
        <f t="shared" ca="1" si="99"/>
        <v>116529.31435079365</v>
      </c>
      <c r="DH101" s="87">
        <f t="shared" ca="1" si="99"/>
        <v>125307.45030549582</v>
      </c>
      <c r="DI101" s="87">
        <f t="shared" ca="1" si="99"/>
        <v>134750.90464863752</v>
      </c>
      <c r="DJ101" s="87">
        <f t="shared" ca="1" si="99"/>
        <v>144909.69253992746</v>
      </c>
      <c r="DK101" s="87">
        <f t="shared" ca="1" si="99"/>
        <v>155836.94899046558</v>
      </c>
      <c r="DL101" s="87">
        <f t="shared" ca="1" si="99"/>
        <v>167592.29264757206</v>
      </c>
      <c r="DM101" s="87">
        <f t="shared" ca="1" si="99"/>
        <v>180237.53563308492</v>
      </c>
      <c r="DN101" s="87">
        <f t="shared" ca="1" si="99"/>
        <v>193838.28550244329</v>
      </c>
      <c r="DO101" s="87">
        <f t="shared" ca="1" si="99"/>
        <v>208466.37877792903</v>
      </c>
      <c r="DP101" s="87">
        <f t="shared" ca="1" si="99"/>
        <v>224199.2037718526</v>
      </c>
      <c r="DQ101" s="87">
        <f t="shared" ca="1" si="99"/>
        <v>241120.3169157324</v>
      </c>
      <c r="DR101" s="87">
        <f t="shared" ca="1" si="99"/>
        <v>259319.40945848275</v>
      </c>
      <c r="DS101" s="87">
        <f t="shared" ca="1" si="99"/>
        <v>278892.78949086269</v>
      </c>
      <c r="DT101" s="87">
        <f t="shared" ca="1" si="99"/>
        <v>299944.61006167578</v>
      </c>
      <c r="DU101" s="87">
        <f t="shared" ca="1" si="99"/>
        <v>322586.71352488897</v>
      </c>
      <c r="DV101" s="87">
        <f t="shared" ca="1" si="99"/>
        <v>346939.21484437649</v>
      </c>
      <c r="DW101" s="87">
        <f t="shared" ca="1" si="99"/>
        <v>373131.17753148358</v>
      </c>
      <c r="DX101" s="87">
        <f t="shared" ca="1" si="99"/>
        <v>401301.22378073016</v>
      </c>
      <c r="DY101" s="87">
        <f t="shared" ca="1" si="99"/>
        <v>431599.18740272109</v>
      </c>
      <c r="DZ101" s="87">
        <f t="shared" ca="1" si="99"/>
        <v>464185.55270475731</v>
      </c>
      <c r="EA101" s="87">
        <f t="shared" ca="1" si="99"/>
        <v>499233.20750472695</v>
      </c>
      <c r="EB101" s="87">
        <f t="shared" ref="EB101:EL101" ca="1" si="100">EB98-EB95-EB97+SUM(EB99:EB100)</f>
        <v>536929.21551226033</v>
      </c>
      <c r="EC101" s="87">
        <f t="shared" ca="1" si="100"/>
        <v>577473.48727889883</v>
      </c>
      <c r="ED101" s="87">
        <f t="shared" ca="1" si="100"/>
        <v>621080.21476674685</v>
      </c>
      <c r="EE101" s="87">
        <f t="shared" ca="1" si="100"/>
        <v>667981.0112213532</v>
      </c>
      <c r="EF101" s="87">
        <f t="shared" ca="1" si="100"/>
        <v>718425.0345161208</v>
      </c>
      <c r="EG101" s="87">
        <f t="shared" ca="1" si="100"/>
        <v>772679.72125205479</v>
      </c>
      <c r="EH101" s="87">
        <f t="shared" ca="1" si="100"/>
        <v>831032.53832166968</v>
      </c>
      <c r="EI101" s="87">
        <f t="shared" ca="1" si="100"/>
        <v>893793.47751075495</v>
      </c>
      <c r="EJ101" s="87">
        <f t="shared" ca="1" si="100"/>
        <v>961295.79229908867</v>
      </c>
      <c r="EK101" s="87">
        <f t="shared" ca="1" si="100"/>
        <v>1033896.7236892161</v>
      </c>
      <c r="EL101" s="87">
        <f t="shared" ca="1" si="100"/>
        <v>1111980.9198314757</v>
      </c>
    </row>
    <row r="102" spans="2:142" s="2" customFormat="1">
      <c r="B102" s="28"/>
      <c r="D102" s="86"/>
      <c r="E102" s="74"/>
      <c r="F102" s="74"/>
      <c r="G102" s="74"/>
      <c r="H102" s="74"/>
      <c r="I102" s="74"/>
      <c r="J102" s="74"/>
      <c r="L102" s="85"/>
    </row>
    <row r="103" spans="2:142" s="2" customFormat="1">
      <c r="B103" s="28" t="s">
        <v>65</v>
      </c>
      <c r="D103" s="86"/>
      <c r="E103" s="74"/>
      <c r="F103" s="74"/>
      <c r="G103" s="74"/>
      <c r="H103" s="74"/>
      <c r="I103" s="74"/>
      <c r="J103" s="74"/>
      <c r="L103" s="85"/>
    </row>
    <row r="104" spans="2:142" s="2" customFormat="1">
      <c r="B104" s="44" t="s">
        <v>24</v>
      </c>
      <c r="C104" s="44">
        <f t="shared" ref="C104:AH104" si="101">C90</f>
        <v>0</v>
      </c>
      <c r="D104" s="43">
        <f t="shared" si="101"/>
        <v>1</v>
      </c>
      <c r="E104" s="43">
        <f t="shared" si="101"/>
        <v>2</v>
      </c>
      <c r="F104" s="43">
        <f t="shared" si="101"/>
        <v>3</v>
      </c>
      <c r="G104" s="43">
        <f t="shared" si="101"/>
        <v>4</v>
      </c>
      <c r="H104" s="43">
        <f t="shared" si="101"/>
        <v>5</v>
      </c>
      <c r="I104" s="43">
        <f t="shared" si="101"/>
        <v>6</v>
      </c>
      <c r="J104" s="43">
        <f t="shared" si="101"/>
        <v>7</v>
      </c>
      <c r="K104" s="43">
        <f t="shared" si="101"/>
        <v>8</v>
      </c>
      <c r="L104" s="43">
        <f t="shared" si="101"/>
        <v>9</v>
      </c>
      <c r="M104" s="43">
        <f t="shared" si="101"/>
        <v>10</v>
      </c>
      <c r="N104" s="43">
        <f t="shared" si="101"/>
        <v>11</v>
      </c>
      <c r="O104" s="43">
        <f t="shared" si="101"/>
        <v>12</v>
      </c>
      <c r="P104" s="43">
        <f t="shared" si="101"/>
        <v>13</v>
      </c>
      <c r="Q104" s="43">
        <f t="shared" si="101"/>
        <v>14</v>
      </c>
      <c r="R104" s="43">
        <f t="shared" si="101"/>
        <v>15</v>
      </c>
      <c r="S104" s="43">
        <f t="shared" si="101"/>
        <v>16</v>
      </c>
      <c r="T104" s="43">
        <f t="shared" si="101"/>
        <v>17</v>
      </c>
      <c r="U104" s="43">
        <f t="shared" si="101"/>
        <v>18</v>
      </c>
      <c r="V104" s="43">
        <f t="shared" si="101"/>
        <v>19</v>
      </c>
      <c r="W104" s="43">
        <f t="shared" si="101"/>
        <v>20</v>
      </c>
      <c r="X104" s="43">
        <f t="shared" si="101"/>
        <v>21</v>
      </c>
      <c r="Y104" s="43">
        <f t="shared" si="101"/>
        <v>22</v>
      </c>
      <c r="Z104" s="43">
        <f t="shared" si="101"/>
        <v>23</v>
      </c>
      <c r="AA104" s="43">
        <f t="shared" si="101"/>
        <v>24</v>
      </c>
      <c r="AB104" s="43">
        <f t="shared" si="101"/>
        <v>25</v>
      </c>
      <c r="AC104" s="43">
        <f t="shared" si="101"/>
        <v>26</v>
      </c>
      <c r="AD104" s="43">
        <f t="shared" si="101"/>
        <v>27</v>
      </c>
      <c r="AE104" s="43">
        <f t="shared" si="101"/>
        <v>28</v>
      </c>
      <c r="AF104" s="43">
        <f t="shared" si="101"/>
        <v>29</v>
      </c>
      <c r="AG104" s="43">
        <f t="shared" si="101"/>
        <v>30</v>
      </c>
      <c r="AH104" s="43">
        <f t="shared" si="101"/>
        <v>31</v>
      </c>
      <c r="AI104" s="43">
        <f t="shared" ref="AI104:BN104" si="102">AI90</f>
        <v>32</v>
      </c>
      <c r="AJ104" s="43">
        <f t="shared" si="102"/>
        <v>33</v>
      </c>
      <c r="AK104" s="43">
        <f t="shared" si="102"/>
        <v>34</v>
      </c>
      <c r="AL104" s="43">
        <f t="shared" si="102"/>
        <v>35</v>
      </c>
      <c r="AM104" s="43">
        <f t="shared" si="102"/>
        <v>36</v>
      </c>
      <c r="AN104" s="43">
        <f t="shared" si="102"/>
        <v>37</v>
      </c>
      <c r="AO104" s="43">
        <f t="shared" si="102"/>
        <v>38</v>
      </c>
      <c r="AP104" s="43">
        <f t="shared" si="102"/>
        <v>39</v>
      </c>
      <c r="AQ104" s="43">
        <f t="shared" si="102"/>
        <v>40</v>
      </c>
      <c r="AR104" s="43">
        <f t="shared" si="102"/>
        <v>41</v>
      </c>
      <c r="AS104" s="43">
        <f t="shared" si="102"/>
        <v>42</v>
      </c>
      <c r="AT104" s="43">
        <f t="shared" si="102"/>
        <v>43</v>
      </c>
      <c r="AU104" s="43">
        <f t="shared" si="102"/>
        <v>44</v>
      </c>
      <c r="AV104" s="43">
        <f t="shared" si="102"/>
        <v>45</v>
      </c>
      <c r="AW104" s="43">
        <f t="shared" si="102"/>
        <v>46</v>
      </c>
      <c r="AX104" s="43">
        <f t="shared" si="102"/>
        <v>47</v>
      </c>
      <c r="AY104" s="43">
        <f t="shared" si="102"/>
        <v>48</v>
      </c>
      <c r="AZ104" s="43">
        <f t="shared" si="102"/>
        <v>49</v>
      </c>
      <c r="BA104" s="43">
        <f t="shared" si="102"/>
        <v>50</v>
      </c>
      <c r="BB104" s="43">
        <f t="shared" si="102"/>
        <v>51</v>
      </c>
      <c r="BC104" s="43">
        <f t="shared" si="102"/>
        <v>52</v>
      </c>
      <c r="BD104" s="43">
        <f t="shared" si="102"/>
        <v>53</v>
      </c>
      <c r="BE104" s="43">
        <f t="shared" si="102"/>
        <v>54</v>
      </c>
      <c r="BF104" s="43">
        <f t="shared" si="102"/>
        <v>55</v>
      </c>
      <c r="BG104" s="43">
        <f t="shared" si="102"/>
        <v>56</v>
      </c>
      <c r="BH104" s="43">
        <f t="shared" si="102"/>
        <v>57</v>
      </c>
      <c r="BI104" s="43">
        <f t="shared" si="102"/>
        <v>58</v>
      </c>
      <c r="BJ104" s="43">
        <f t="shared" si="102"/>
        <v>59</v>
      </c>
      <c r="BK104" s="43">
        <f t="shared" si="102"/>
        <v>60</v>
      </c>
      <c r="BL104" s="43">
        <f t="shared" si="102"/>
        <v>61</v>
      </c>
      <c r="BM104" s="43">
        <f t="shared" si="102"/>
        <v>62</v>
      </c>
      <c r="BN104" s="43">
        <f t="shared" si="102"/>
        <v>63</v>
      </c>
      <c r="BO104" s="43">
        <f t="shared" ref="BO104:CT104" si="103">BO90</f>
        <v>64</v>
      </c>
      <c r="BP104" s="43">
        <f t="shared" si="103"/>
        <v>65</v>
      </c>
      <c r="BQ104" s="43">
        <f t="shared" si="103"/>
        <v>66</v>
      </c>
      <c r="BR104" s="43">
        <f t="shared" si="103"/>
        <v>67</v>
      </c>
      <c r="BS104" s="43">
        <f t="shared" si="103"/>
        <v>68</v>
      </c>
      <c r="BT104" s="43">
        <f t="shared" si="103"/>
        <v>69</v>
      </c>
      <c r="BU104" s="43">
        <f t="shared" si="103"/>
        <v>70</v>
      </c>
      <c r="BV104" s="43">
        <f t="shared" si="103"/>
        <v>71</v>
      </c>
      <c r="BW104" s="43">
        <f t="shared" si="103"/>
        <v>72</v>
      </c>
      <c r="BX104" s="43">
        <f t="shared" si="103"/>
        <v>73</v>
      </c>
      <c r="BY104" s="43">
        <f t="shared" si="103"/>
        <v>74</v>
      </c>
      <c r="BZ104" s="43">
        <f t="shared" si="103"/>
        <v>75</v>
      </c>
      <c r="CA104" s="43">
        <f t="shared" si="103"/>
        <v>76</v>
      </c>
      <c r="CB104" s="43">
        <f t="shared" si="103"/>
        <v>77</v>
      </c>
      <c r="CC104" s="43">
        <f t="shared" si="103"/>
        <v>78</v>
      </c>
      <c r="CD104" s="43">
        <f t="shared" si="103"/>
        <v>79</v>
      </c>
      <c r="CE104" s="43">
        <f t="shared" si="103"/>
        <v>80</v>
      </c>
      <c r="CF104" s="43">
        <f t="shared" si="103"/>
        <v>81</v>
      </c>
      <c r="CG104" s="43">
        <f t="shared" si="103"/>
        <v>82</v>
      </c>
      <c r="CH104" s="43">
        <f t="shared" si="103"/>
        <v>83</v>
      </c>
      <c r="CI104" s="43">
        <f t="shared" si="103"/>
        <v>84</v>
      </c>
      <c r="CJ104" s="43">
        <f t="shared" si="103"/>
        <v>85</v>
      </c>
      <c r="CK104" s="43">
        <f t="shared" si="103"/>
        <v>86</v>
      </c>
      <c r="CL104" s="43">
        <f t="shared" si="103"/>
        <v>87</v>
      </c>
      <c r="CM104" s="43">
        <f t="shared" si="103"/>
        <v>88</v>
      </c>
      <c r="CN104" s="43">
        <f t="shared" si="103"/>
        <v>89</v>
      </c>
      <c r="CO104" s="43">
        <f t="shared" si="103"/>
        <v>90</v>
      </c>
      <c r="CP104" s="43">
        <f t="shared" si="103"/>
        <v>91</v>
      </c>
      <c r="CQ104" s="43">
        <f t="shared" si="103"/>
        <v>92</v>
      </c>
      <c r="CR104" s="43">
        <f t="shared" si="103"/>
        <v>93</v>
      </c>
      <c r="CS104" s="43">
        <f t="shared" si="103"/>
        <v>94</v>
      </c>
      <c r="CT104" s="43">
        <f t="shared" si="103"/>
        <v>95</v>
      </c>
      <c r="CU104" s="43">
        <f t="shared" ref="CU104:DZ104" si="104">CU90</f>
        <v>96</v>
      </c>
      <c r="CV104" s="43">
        <f t="shared" si="104"/>
        <v>97</v>
      </c>
      <c r="CW104" s="43">
        <f t="shared" si="104"/>
        <v>98</v>
      </c>
      <c r="CX104" s="43">
        <f t="shared" si="104"/>
        <v>99</v>
      </c>
      <c r="CY104" s="43">
        <f t="shared" si="104"/>
        <v>100</v>
      </c>
      <c r="CZ104" s="43">
        <f t="shared" si="104"/>
        <v>101</v>
      </c>
      <c r="DA104" s="43">
        <f t="shared" si="104"/>
        <v>102</v>
      </c>
      <c r="DB104" s="43">
        <f t="shared" si="104"/>
        <v>103</v>
      </c>
      <c r="DC104" s="43">
        <f t="shared" si="104"/>
        <v>104</v>
      </c>
      <c r="DD104" s="43">
        <f t="shared" si="104"/>
        <v>105</v>
      </c>
      <c r="DE104" s="43">
        <f t="shared" si="104"/>
        <v>106</v>
      </c>
      <c r="DF104" s="43">
        <f t="shared" si="104"/>
        <v>107</v>
      </c>
      <c r="DG104" s="43">
        <f t="shared" si="104"/>
        <v>108</v>
      </c>
      <c r="DH104" s="43">
        <f t="shared" si="104"/>
        <v>109</v>
      </c>
      <c r="DI104" s="43">
        <f t="shared" si="104"/>
        <v>110</v>
      </c>
      <c r="DJ104" s="43">
        <f t="shared" si="104"/>
        <v>111</v>
      </c>
      <c r="DK104" s="43">
        <f t="shared" si="104"/>
        <v>112</v>
      </c>
      <c r="DL104" s="43">
        <f t="shared" si="104"/>
        <v>113</v>
      </c>
      <c r="DM104" s="43">
        <f t="shared" si="104"/>
        <v>114</v>
      </c>
      <c r="DN104" s="43">
        <f t="shared" si="104"/>
        <v>115</v>
      </c>
      <c r="DO104" s="43">
        <f t="shared" si="104"/>
        <v>116</v>
      </c>
      <c r="DP104" s="43">
        <f t="shared" si="104"/>
        <v>117</v>
      </c>
      <c r="DQ104" s="43">
        <f t="shared" si="104"/>
        <v>118</v>
      </c>
      <c r="DR104" s="43">
        <f t="shared" si="104"/>
        <v>119</v>
      </c>
      <c r="DS104" s="43">
        <f t="shared" si="104"/>
        <v>120</v>
      </c>
      <c r="DT104" s="43">
        <f t="shared" si="104"/>
        <v>121</v>
      </c>
      <c r="DU104" s="43">
        <f t="shared" si="104"/>
        <v>122</v>
      </c>
      <c r="DV104" s="43">
        <f t="shared" si="104"/>
        <v>123</v>
      </c>
      <c r="DW104" s="43">
        <f t="shared" si="104"/>
        <v>124</v>
      </c>
      <c r="DX104" s="43">
        <f t="shared" si="104"/>
        <v>125</v>
      </c>
      <c r="DY104" s="43">
        <f t="shared" si="104"/>
        <v>126</v>
      </c>
      <c r="DZ104" s="43">
        <f t="shared" si="104"/>
        <v>127</v>
      </c>
      <c r="EA104" s="43">
        <f t="shared" ref="EA104:EL104" si="105">EA90</f>
        <v>128</v>
      </c>
      <c r="EB104" s="43">
        <f t="shared" si="105"/>
        <v>129</v>
      </c>
      <c r="EC104" s="43">
        <f t="shared" si="105"/>
        <v>130</v>
      </c>
      <c r="ED104" s="43">
        <f t="shared" si="105"/>
        <v>131</v>
      </c>
      <c r="EE104" s="43">
        <f t="shared" si="105"/>
        <v>132</v>
      </c>
      <c r="EF104" s="43">
        <f t="shared" si="105"/>
        <v>133</v>
      </c>
      <c r="EG104" s="43">
        <f t="shared" si="105"/>
        <v>134</v>
      </c>
      <c r="EH104" s="43">
        <f t="shared" si="105"/>
        <v>135</v>
      </c>
      <c r="EI104" s="43">
        <f t="shared" si="105"/>
        <v>136</v>
      </c>
      <c r="EJ104" s="43">
        <f t="shared" si="105"/>
        <v>137</v>
      </c>
      <c r="EK104" s="43">
        <f t="shared" si="105"/>
        <v>138</v>
      </c>
      <c r="EL104" s="43">
        <f t="shared" si="105"/>
        <v>139</v>
      </c>
    </row>
    <row r="105" spans="2:142" s="2" customFormat="1">
      <c r="B105" s="51" t="s">
        <v>64</v>
      </c>
      <c r="C105" s="83"/>
      <c r="D105" s="83">
        <f ca="1">LiabilityCF!D18*OtherAssump!$C$8</f>
        <v>79.944999999999993</v>
      </c>
      <c r="E105" s="83">
        <f ca="1">LiabilityCF!E18*OtherAssump!$C$8</f>
        <v>158.28780730863423</v>
      </c>
      <c r="F105" s="83">
        <f ca="1">LiabilityCF!F18*OtherAssump!$C$8</f>
        <v>228.1777213387596</v>
      </c>
      <c r="G105" s="83">
        <f ca="1">LiabilityCF!G18*OtherAssump!$C$8</f>
        <v>300.39462421292444</v>
      </c>
      <c r="H105" s="83">
        <f ca="1">LiabilityCF!H18*OtherAssump!$C$8</f>
        <v>241.33981508517729</v>
      </c>
      <c r="I105" s="83">
        <f ca="1">LiabilityCF!I18*OtherAssump!$C$8</f>
        <v>169.73674672246173</v>
      </c>
      <c r="J105" s="83">
        <f ca="1">LiabilityCF!J18*OtherAssump!$C$8</f>
        <v>119.55036505798758</v>
      </c>
      <c r="K105" s="83">
        <f ca="1">LiabilityCF!K18*OtherAssump!$C$8</f>
        <v>65.074756767251856</v>
      </c>
      <c r="L105" s="83">
        <f ca="1">LiabilityCF!L18*OtherAssump!$C$8</f>
        <v>7.4597354136799296</v>
      </c>
      <c r="M105" s="83">
        <f ca="1">LiabilityCF!M18*OtherAssump!$C$8</f>
        <v>7.3222656839576459</v>
      </c>
      <c r="N105" s="83">
        <f ca="1">LiabilityCF!N18*OtherAssump!$C$8</f>
        <v>6.2320686707138382</v>
      </c>
      <c r="O105" s="83">
        <f ca="1">LiabilityCF!O18*OtherAssump!$C$8</f>
        <v>4.6809454200114571</v>
      </c>
      <c r="P105" s="83">
        <f ca="1">LiabilityCF!P18*OtherAssump!$C$8</f>
        <v>2.5504787441497458</v>
      </c>
      <c r="Q105" s="83">
        <f ca="1">LiabilityCF!Q18*OtherAssump!$C$8</f>
        <v>0</v>
      </c>
      <c r="R105" s="83">
        <f ca="1">LiabilityCF!R18*OtherAssump!$C$8</f>
        <v>0</v>
      </c>
      <c r="S105" s="83">
        <f ca="1">LiabilityCF!S18*OtherAssump!$C$8</f>
        <v>0</v>
      </c>
      <c r="T105" s="83">
        <f ca="1">LiabilityCF!T18*OtherAssump!$C$8</f>
        <v>0</v>
      </c>
      <c r="U105" s="83">
        <f ca="1">LiabilityCF!U18*OtherAssump!$C$8</f>
        <v>0</v>
      </c>
      <c r="V105" s="83">
        <f ca="1">LiabilityCF!V18*OtherAssump!$C$8</f>
        <v>0</v>
      </c>
      <c r="W105" s="83">
        <f ca="1">LiabilityCF!W18*OtherAssump!$C$8</f>
        <v>0</v>
      </c>
      <c r="X105" s="83">
        <f ca="1">LiabilityCF!X18*OtherAssump!$C$8</f>
        <v>0</v>
      </c>
      <c r="Y105" s="83">
        <f ca="1">LiabilityCF!Y18*OtherAssump!$C$8</f>
        <v>0</v>
      </c>
      <c r="Z105" s="83">
        <f ca="1">LiabilityCF!Z18*OtherAssump!$C$8</f>
        <v>0</v>
      </c>
      <c r="AA105" s="83">
        <f ca="1">LiabilityCF!AA18*OtherAssump!$C$8</f>
        <v>0</v>
      </c>
      <c r="AB105" s="83">
        <f ca="1">LiabilityCF!AB18*OtherAssump!$C$8</f>
        <v>0</v>
      </c>
      <c r="AC105" s="83">
        <f ca="1">LiabilityCF!AC18*OtherAssump!$C$8</f>
        <v>0</v>
      </c>
      <c r="AD105" s="83">
        <f ca="1">LiabilityCF!AD18*OtherAssump!$C$8</f>
        <v>0</v>
      </c>
      <c r="AE105" s="83">
        <f ca="1">LiabilityCF!AE18*OtherAssump!$C$8</f>
        <v>0</v>
      </c>
      <c r="AF105" s="83">
        <f ca="1">LiabilityCF!AF18*OtherAssump!$C$8</f>
        <v>0</v>
      </c>
      <c r="AG105" s="83">
        <f ca="1">LiabilityCF!AG18*OtherAssump!$C$8</f>
        <v>0</v>
      </c>
      <c r="AH105" s="83">
        <f ca="1">LiabilityCF!AH18*OtherAssump!$C$8</f>
        <v>0</v>
      </c>
      <c r="AI105" s="83">
        <f ca="1">LiabilityCF!AI18*OtherAssump!$C$8</f>
        <v>0</v>
      </c>
      <c r="AJ105" s="83">
        <f ca="1">LiabilityCF!AJ18*OtherAssump!$C$8</f>
        <v>0</v>
      </c>
      <c r="AK105" s="83">
        <f ca="1">LiabilityCF!AK18*OtherAssump!$C$8</f>
        <v>0</v>
      </c>
      <c r="AL105" s="83">
        <f ca="1">LiabilityCF!AL18*OtherAssump!$C$8</f>
        <v>0</v>
      </c>
      <c r="AM105" s="83">
        <f ca="1">LiabilityCF!AM18*OtherAssump!$C$8</f>
        <v>0</v>
      </c>
      <c r="AN105" s="83">
        <f ca="1">LiabilityCF!AN18*OtherAssump!$C$8</f>
        <v>0</v>
      </c>
      <c r="AO105" s="83">
        <f ca="1">LiabilityCF!AO18*OtherAssump!$C$8</f>
        <v>0</v>
      </c>
      <c r="AP105" s="83">
        <f ca="1">LiabilityCF!AP18*OtherAssump!$C$8</f>
        <v>0</v>
      </c>
      <c r="AQ105" s="83">
        <f ca="1">LiabilityCF!AQ18*OtherAssump!$C$8</f>
        <v>0</v>
      </c>
      <c r="AR105" s="83">
        <f ca="1">LiabilityCF!AR18*OtherAssump!$C$8</f>
        <v>0</v>
      </c>
      <c r="AS105" s="83">
        <f ca="1">LiabilityCF!AS18*OtherAssump!$C$8</f>
        <v>0</v>
      </c>
      <c r="AT105" s="83">
        <f ca="1">LiabilityCF!AT18*OtherAssump!$C$8</f>
        <v>0</v>
      </c>
      <c r="AU105" s="83">
        <f ca="1">LiabilityCF!AU18*OtherAssump!$C$8</f>
        <v>0</v>
      </c>
      <c r="AV105" s="83">
        <f ca="1">LiabilityCF!AV18*OtherAssump!$C$8</f>
        <v>0</v>
      </c>
      <c r="AW105" s="83">
        <f ca="1">LiabilityCF!AW18*OtherAssump!$C$8</f>
        <v>0</v>
      </c>
      <c r="AX105" s="83">
        <f ca="1">LiabilityCF!AX18*OtherAssump!$C$8</f>
        <v>0</v>
      </c>
      <c r="AY105" s="83">
        <f ca="1">LiabilityCF!AY18*OtherAssump!$C$8</f>
        <v>0</v>
      </c>
      <c r="AZ105" s="83">
        <f ca="1">LiabilityCF!AZ18*OtherAssump!$C$8</f>
        <v>0</v>
      </c>
      <c r="BA105" s="83">
        <f ca="1">LiabilityCF!BA18*OtherAssump!$C$8</f>
        <v>0</v>
      </c>
      <c r="BB105" s="83">
        <f ca="1">LiabilityCF!BB18*OtherAssump!$C$8</f>
        <v>0</v>
      </c>
      <c r="BC105" s="83">
        <f ca="1">LiabilityCF!BC18*OtherAssump!$C$8</f>
        <v>0</v>
      </c>
      <c r="BD105" s="83">
        <f ca="1">LiabilityCF!BD18*OtherAssump!$C$8</f>
        <v>0</v>
      </c>
      <c r="BE105" s="83">
        <f ca="1">LiabilityCF!BE18*OtherAssump!$C$8</f>
        <v>0</v>
      </c>
      <c r="BF105" s="83">
        <f ca="1">LiabilityCF!BF18*OtherAssump!$C$8</f>
        <v>0</v>
      </c>
      <c r="BG105" s="83">
        <f ca="1">LiabilityCF!BG18*OtherAssump!$C$8</f>
        <v>0</v>
      </c>
      <c r="BH105" s="83">
        <f ca="1">LiabilityCF!BH18*OtherAssump!$C$8</f>
        <v>0</v>
      </c>
      <c r="BI105" s="83">
        <f ca="1">LiabilityCF!BI18*OtherAssump!$C$8</f>
        <v>0</v>
      </c>
      <c r="BJ105" s="83">
        <f ca="1">LiabilityCF!BJ18*OtherAssump!$C$8</f>
        <v>0</v>
      </c>
      <c r="BK105" s="83">
        <f ca="1">LiabilityCF!BK18*OtherAssump!$C$8</f>
        <v>0</v>
      </c>
      <c r="BL105" s="83">
        <f ca="1">LiabilityCF!BL18*OtherAssump!$C$8</f>
        <v>0</v>
      </c>
      <c r="BM105" s="83">
        <f ca="1">LiabilityCF!BM18*OtherAssump!$C$8</f>
        <v>0</v>
      </c>
      <c r="BN105" s="83">
        <f ca="1">LiabilityCF!BN18*OtherAssump!$C$8</f>
        <v>0</v>
      </c>
      <c r="BO105" s="83">
        <f ca="1">LiabilityCF!BO18*OtherAssump!$C$8</f>
        <v>0</v>
      </c>
      <c r="BP105" s="83">
        <f ca="1">LiabilityCF!BP18*OtherAssump!$C$8</f>
        <v>0</v>
      </c>
      <c r="BQ105" s="83">
        <f ca="1">LiabilityCF!BQ18*OtherAssump!$C$8</f>
        <v>0</v>
      </c>
      <c r="BR105" s="83">
        <f ca="1">LiabilityCF!BR18*OtherAssump!$C$8</f>
        <v>0</v>
      </c>
      <c r="BS105" s="83">
        <f ca="1">LiabilityCF!BS18*OtherAssump!$C$8</f>
        <v>0</v>
      </c>
      <c r="BT105" s="83">
        <f ca="1">LiabilityCF!BT18*OtherAssump!$C$8</f>
        <v>0</v>
      </c>
      <c r="BU105" s="83">
        <f ca="1">LiabilityCF!BU18*OtherAssump!$C$8</f>
        <v>0</v>
      </c>
      <c r="BV105" s="83">
        <f ca="1">LiabilityCF!BV18*OtherAssump!$C$8</f>
        <v>0</v>
      </c>
      <c r="BW105" s="83">
        <f ca="1">LiabilityCF!BW18*OtherAssump!$C$8</f>
        <v>0</v>
      </c>
      <c r="BX105" s="83">
        <f ca="1">LiabilityCF!BX18*OtherAssump!$C$8</f>
        <v>0</v>
      </c>
      <c r="BY105" s="83">
        <f ca="1">LiabilityCF!BY18*OtherAssump!$C$8</f>
        <v>0</v>
      </c>
      <c r="BZ105" s="83">
        <f ca="1">LiabilityCF!BZ18*OtherAssump!$C$8</f>
        <v>0</v>
      </c>
      <c r="CA105" s="83">
        <f ca="1">LiabilityCF!CA18*OtherAssump!$C$8</f>
        <v>0</v>
      </c>
      <c r="CB105" s="83">
        <f ca="1">LiabilityCF!CB18*OtherAssump!$C$8</f>
        <v>0</v>
      </c>
      <c r="CC105" s="83">
        <f ca="1">LiabilityCF!CC18*OtherAssump!$C$8</f>
        <v>0</v>
      </c>
      <c r="CD105" s="83">
        <f ca="1">LiabilityCF!CD18*OtherAssump!$C$8</f>
        <v>0</v>
      </c>
      <c r="CE105" s="83">
        <f ca="1">LiabilityCF!CE18*OtherAssump!$C$8</f>
        <v>0</v>
      </c>
      <c r="CF105" s="83">
        <f ca="1">LiabilityCF!CF18*OtherAssump!$C$8</f>
        <v>0</v>
      </c>
      <c r="CG105" s="83">
        <f ca="1">LiabilityCF!CG18*OtherAssump!$C$8</f>
        <v>0</v>
      </c>
      <c r="CH105" s="83">
        <f ca="1">LiabilityCF!CH18*OtherAssump!$C$8</f>
        <v>0</v>
      </c>
      <c r="CI105" s="83">
        <f ca="1">LiabilityCF!CI18*OtherAssump!$C$8</f>
        <v>0</v>
      </c>
      <c r="CJ105" s="83">
        <f ca="1">LiabilityCF!CJ18*OtherAssump!$C$8</f>
        <v>0</v>
      </c>
      <c r="CK105" s="83">
        <f ca="1">LiabilityCF!CK18*OtherAssump!$C$8</f>
        <v>0</v>
      </c>
      <c r="CL105" s="83">
        <f ca="1">LiabilityCF!CL18*OtherAssump!$C$8</f>
        <v>0</v>
      </c>
      <c r="CM105" s="83">
        <f ca="1">LiabilityCF!CM18*OtherAssump!$C$8</f>
        <v>0</v>
      </c>
      <c r="CN105" s="83">
        <f ca="1">LiabilityCF!CN18*OtherAssump!$C$8</f>
        <v>0</v>
      </c>
      <c r="CO105" s="83">
        <f ca="1">LiabilityCF!CO18*OtherAssump!$C$8</f>
        <v>0</v>
      </c>
      <c r="CP105" s="83">
        <f ca="1">LiabilityCF!CP18*OtherAssump!$C$8</f>
        <v>0</v>
      </c>
      <c r="CQ105" s="83">
        <f ca="1">LiabilityCF!CQ18*OtherAssump!$C$8</f>
        <v>0</v>
      </c>
      <c r="CR105" s="83">
        <f ca="1">LiabilityCF!CR18*OtherAssump!$C$8</f>
        <v>0</v>
      </c>
      <c r="CS105" s="83">
        <f ca="1">LiabilityCF!CS18*OtherAssump!$C$8</f>
        <v>0</v>
      </c>
      <c r="CT105" s="83">
        <f ca="1">LiabilityCF!CT18*OtherAssump!$C$8</f>
        <v>0</v>
      </c>
      <c r="CU105" s="83">
        <f ca="1">LiabilityCF!CU18*OtherAssump!$C$8</f>
        <v>0</v>
      </c>
      <c r="CV105" s="83">
        <f ca="1">LiabilityCF!CV18*OtherAssump!$C$8</f>
        <v>0</v>
      </c>
      <c r="CW105" s="83">
        <f ca="1">LiabilityCF!CW18*OtherAssump!$C$8</f>
        <v>0</v>
      </c>
      <c r="CX105" s="83">
        <f ca="1">LiabilityCF!CX18*OtherAssump!$C$8</f>
        <v>0</v>
      </c>
      <c r="CY105" s="83">
        <f ca="1">LiabilityCF!CY18*OtherAssump!$C$8</f>
        <v>0</v>
      </c>
      <c r="CZ105" s="83">
        <f ca="1">LiabilityCF!CZ18*OtherAssump!$C$8</f>
        <v>0</v>
      </c>
      <c r="DA105" s="83">
        <f ca="1">LiabilityCF!DA18*OtherAssump!$C$8</f>
        <v>0</v>
      </c>
      <c r="DB105" s="83">
        <f ca="1">LiabilityCF!DB18*OtherAssump!$C$8</f>
        <v>0</v>
      </c>
      <c r="DC105" s="83">
        <f ca="1">LiabilityCF!DC18*OtherAssump!$C$8</f>
        <v>0</v>
      </c>
      <c r="DD105" s="83">
        <f ca="1">LiabilityCF!DD18*OtherAssump!$C$8</f>
        <v>0</v>
      </c>
      <c r="DE105" s="83">
        <f ca="1">LiabilityCF!DE18*OtherAssump!$C$8</f>
        <v>0</v>
      </c>
      <c r="DF105" s="83">
        <f ca="1">LiabilityCF!DF18*OtherAssump!$C$8</f>
        <v>0</v>
      </c>
      <c r="DG105" s="83">
        <f ca="1">LiabilityCF!DG18*OtherAssump!$C$8</f>
        <v>0</v>
      </c>
      <c r="DH105" s="83">
        <f ca="1">LiabilityCF!DH18*OtherAssump!$C$8</f>
        <v>0</v>
      </c>
      <c r="DI105" s="83">
        <f ca="1">LiabilityCF!DI18*OtherAssump!$C$8</f>
        <v>0</v>
      </c>
      <c r="DJ105" s="83">
        <f ca="1">LiabilityCF!DJ18*OtherAssump!$C$8</f>
        <v>0</v>
      </c>
      <c r="DK105" s="83">
        <f ca="1">LiabilityCF!DK18*OtherAssump!$C$8</f>
        <v>0</v>
      </c>
      <c r="DL105" s="83">
        <f ca="1">LiabilityCF!DL18*OtherAssump!$C$8</f>
        <v>0</v>
      </c>
      <c r="DM105" s="83">
        <f ca="1">LiabilityCF!DM18*OtherAssump!$C$8</f>
        <v>0</v>
      </c>
      <c r="DN105" s="83">
        <f ca="1">LiabilityCF!DN18*OtherAssump!$C$8</f>
        <v>0</v>
      </c>
      <c r="DO105" s="83">
        <f ca="1">LiabilityCF!DO18*OtherAssump!$C$8</f>
        <v>0</v>
      </c>
      <c r="DP105" s="83">
        <f ca="1">LiabilityCF!DP18*OtherAssump!$C$8</f>
        <v>0</v>
      </c>
      <c r="DQ105" s="83">
        <f ca="1">LiabilityCF!DQ18*OtherAssump!$C$8</f>
        <v>0</v>
      </c>
      <c r="DR105" s="83">
        <f ca="1">LiabilityCF!DR18*OtherAssump!$C$8</f>
        <v>0</v>
      </c>
      <c r="DS105" s="83">
        <f ca="1">LiabilityCF!DS18*OtherAssump!$C$8</f>
        <v>0</v>
      </c>
      <c r="DT105" s="83">
        <f ca="1">LiabilityCF!DT18*OtherAssump!$C$8</f>
        <v>0</v>
      </c>
      <c r="DU105" s="83">
        <f ca="1">LiabilityCF!DU18*OtherAssump!$C$8</f>
        <v>0</v>
      </c>
      <c r="DV105" s="83">
        <f ca="1">LiabilityCF!DV18*OtherAssump!$C$8</f>
        <v>0</v>
      </c>
      <c r="DW105" s="83">
        <f ca="1">LiabilityCF!DW18*OtherAssump!$C$8</f>
        <v>0</v>
      </c>
      <c r="DX105" s="83">
        <f ca="1">LiabilityCF!DX18*OtherAssump!$C$8</f>
        <v>0</v>
      </c>
      <c r="DY105" s="83">
        <f ca="1">LiabilityCF!DY18*OtherAssump!$C$8</f>
        <v>0</v>
      </c>
      <c r="DZ105" s="83">
        <f ca="1">LiabilityCF!DZ18*OtherAssump!$C$8</f>
        <v>0</v>
      </c>
      <c r="EA105" s="83">
        <f ca="1">LiabilityCF!EA18*OtherAssump!$C$8</f>
        <v>0</v>
      </c>
      <c r="EB105" s="83">
        <f ca="1">LiabilityCF!EB18*OtherAssump!$C$8</f>
        <v>0</v>
      </c>
      <c r="EC105" s="83">
        <f ca="1">LiabilityCF!EC18*OtherAssump!$C$8</f>
        <v>0</v>
      </c>
      <c r="ED105" s="83">
        <f ca="1">LiabilityCF!ED18*OtherAssump!$C$8</f>
        <v>0</v>
      </c>
      <c r="EE105" s="83">
        <f ca="1">LiabilityCF!EE18*OtherAssump!$C$8</f>
        <v>0</v>
      </c>
      <c r="EF105" s="83">
        <f ca="1">LiabilityCF!EF18*OtherAssump!$C$8</f>
        <v>0</v>
      </c>
      <c r="EG105" s="83">
        <f ca="1">LiabilityCF!EG18*OtherAssump!$C$8</f>
        <v>0</v>
      </c>
      <c r="EH105" s="83">
        <f ca="1">LiabilityCF!EH18*OtherAssump!$C$8</f>
        <v>0</v>
      </c>
      <c r="EI105" s="83">
        <f ca="1">LiabilityCF!EI18*OtherAssump!$C$8</f>
        <v>0</v>
      </c>
      <c r="EJ105" s="83">
        <f ca="1">LiabilityCF!EJ18*OtherAssump!$C$8</f>
        <v>0</v>
      </c>
      <c r="EK105" s="83">
        <f ca="1">LiabilityCF!EK18*OtherAssump!$C$8</f>
        <v>0</v>
      </c>
      <c r="EL105" s="83">
        <f ca="1">LiabilityCF!EL18*OtherAssump!$C$8</f>
        <v>0</v>
      </c>
    </row>
    <row r="106" spans="2:142" s="2" customFormat="1">
      <c r="B106" s="51" t="s">
        <v>63</v>
      </c>
      <c r="C106" s="83"/>
      <c r="D106" s="83">
        <f ca="1">LiabilityCF!D19*OtherAssump!$C$8</f>
        <v>-45.952014156816055</v>
      </c>
      <c r="E106" s="83">
        <f ca="1">LiabilityCF!E19*OtherAssump!$C$8</f>
        <v>-58.499508456412038</v>
      </c>
      <c r="F106" s="83">
        <f ca="1">LiabilityCF!F19*OtherAssump!$C$8</f>
        <v>-69.238307953306915</v>
      </c>
      <c r="G106" s="83">
        <f ca="1">LiabilityCF!G19*OtherAssump!$C$8</f>
        <v>-79.844117686485959</v>
      </c>
      <c r="H106" s="83">
        <f ca="1">LiabilityCF!H19*OtherAssump!$C$8</f>
        <v>-15.304253010683237</v>
      </c>
      <c r="I106" s="83">
        <f ca="1">LiabilityCF!I19*OtherAssump!$C$8</f>
        <v>-17.964666371779334</v>
      </c>
      <c r="J106" s="83">
        <f ca="1">LiabilityCF!J19*OtherAssump!$C$8</f>
        <v>-28.174727890491582</v>
      </c>
      <c r="K106" s="83">
        <f ca="1">LiabilityCF!K19*OtherAssump!$C$8</f>
        <v>-44.2549692665919</v>
      </c>
      <c r="L106" s="83">
        <f ca="1">LiabilityCF!L19*OtherAssump!$C$8</f>
        <v>-57.68209283217022</v>
      </c>
      <c r="M106" s="83">
        <f ca="1">LiabilityCF!M19*OtherAssump!$C$8</f>
        <v>-68.405422174851878</v>
      </c>
      <c r="N106" s="83">
        <f ca="1">LiabilityCF!N19*OtherAssump!$C$8</f>
        <v>-64.874223937359844</v>
      </c>
      <c r="O106" s="83">
        <f ca="1">LiabilityCF!O19*OtherAssump!$C$8</f>
        <v>-49.693675577258553</v>
      </c>
      <c r="P106" s="83">
        <f ca="1">LiabilityCF!P19*OtherAssump!$C$8</f>
        <v>-36.830209028762511</v>
      </c>
      <c r="Q106" s="83">
        <f ca="1">LiabilityCF!Q19*OtherAssump!$C$8</f>
        <v>-26.907441628469016</v>
      </c>
      <c r="R106" s="83">
        <f ca="1">LiabilityCF!R19*OtherAssump!$C$8</f>
        <v>-23.057608195849276</v>
      </c>
      <c r="S106" s="83">
        <f ca="1">LiabilityCF!S19*OtherAssump!$C$8</f>
        <v>-23.083631016063435</v>
      </c>
      <c r="T106" s="83">
        <f ca="1">LiabilityCF!T19*OtherAssump!$C$8</f>
        <v>-23.509299786462194</v>
      </c>
      <c r="U106" s="83">
        <f ca="1">LiabilityCF!U19*OtherAssump!$C$8</f>
        <v>-23.894650244466149</v>
      </c>
      <c r="V106" s="83">
        <f ca="1">LiabilityCF!V19*OtherAssump!$C$8</f>
        <v>-24.234571015650076</v>
      </c>
      <c r="W106" s="83">
        <f ca="1">LiabilityCF!W19*OtherAssump!$C$8</f>
        <v>-24.539165936171276</v>
      </c>
      <c r="X106" s="83">
        <f ca="1">LiabilityCF!X19*OtherAssump!$C$8</f>
        <v>-24.823371020840636</v>
      </c>
      <c r="Y106" s="83">
        <f ca="1">LiabilityCF!Y19*OtherAssump!$C$8</f>
        <v>-25.095398677966088</v>
      </c>
      <c r="Z106" s="83">
        <f ca="1">LiabilityCF!Z19*OtherAssump!$C$8</f>
        <v>-25.354170852689595</v>
      </c>
      <c r="AA106" s="83">
        <f ca="1">LiabilityCF!AA19*OtherAssump!$C$8</f>
        <v>-25.597496407938181</v>
      </c>
      <c r="AB106" s="83">
        <f ca="1">LiabilityCF!AB19*OtherAssump!$C$8</f>
        <v>-25.815558229319986</v>
      </c>
      <c r="AC106" s="83">
        <f ca="1">LiabilityCF!AC19*OtherAssump!$C$8</f>
        <v>-25.992478983582188</v>
      </c>
      <c r="AD106" s="83">
        <f ca="1">LiabilityCF!AD19*OtherAssump!$C$8</f>
        <v>-26.129853482968016</v>
      </c>
      <c r="AE106" s="83">
        <f ca="1">LiabilityCF!AE19*OtherAssump!$C$8</f>
        <v>-26.222183278333397</v>
      </c>
      <c r="AF106" s="83">
        <f ca="1">LiabilityCF!AF19*OtherAssump!$C$8</f>
        <v>-26.272111737903156</v>
      </c>
      <c r="AG106" s="83">
        <f ca="1">LiabilityCF!AG19*OtherAssump!$C$8</f>
        <v>-26.285573362049625</v>
      </c>
      <c r="AH106" s="83">
        <f ca="1">LiabilityCF!AH19*OtherAssump!$C$8</f>
        <v>-26.245489949161893</v>
      </c>
      <c r="AI106" s="83">
        <f ca="1">LiabilityCF!AI19*OtherAssump!$C$8</f>
        <v>-26.152738479837787</v>
      </c>
      <c r="AJ106" s="83">
        <f ca="1">LiabilityCF!AJ19*OtherAssump!$C$8</f>
        <v>-26.005798438560916</v>
      </c>
      <c r="AK106" s="83">
        <f ca="1">LiabilityCF!AK19*OtherAssump!$C$8</f>
        <v>-25.810586163457383</v>
      </c>
      <c r="AL106" s="83">
        <f ca="1">LiabilityCF!AL19*OtherAssump!$C$8</f>
        <v>-25.561933705029251</v>
      </c>
      <c r="AM106" s="83">
        <f ca="1">LiabilityCF!AM19*OtherAssump!$C$8</f>
        <v>-25.257421894162466</v>
      </c>
      <c r="AN106" s="83">
        <f ca="1">LiabilityCF!AN19*OtherAssump!$C$8</f>
        <v>-24.896564937634217</v>
      </c>
      <c r="AO106" s="83">
        <f ca="1">LiabilityCF!AO19*OtherAssump!$C$8</f>
        <v>-24.466636640809771</v>
      </c>
      <c r="AP106" s="83">
        <f ca="1">LiabilityCF!AP19*OtherAssump!$C$8</f>
        <v>-23.982203397370409</v>
      </c>
      <c r="AQ106" s="83">
        <f ca="1">LiabilityCF!AQ19*OtherAssump!$C$8</f>
        <v>-23.449929460773852</v>
      </c>
      <c r="AR106" s="83">
        <f ca="1">LiabilityCF!AR19*OtherAssump!$C$8</f>
        <v>-22.877328496541118</v>
      </c>
      <c r="AS106" s="83">
        <f ca="1">LiabilityCF!AS19*OtherAssump!$C$8</f>
        <v>-22.272027939295199</v>
      </c>
      <c r="AT106" s="83">
        <f ca="1">LiabilityCF!AT19*OtherAssump!$C$8</f>
        <v>-21.629164493322254</v>
      </c>
      <c r="AU106" s="83">
        <f ca="1">LiabilityCF!AU19*OtherAssump!$C$8</f>
        <v>-20.950492086742919</v>
      </c>
      <c r="AV106" s="83">
        <f ca="1">LiabilityCF!AV19*OtherAssump!$C$8</f>
        <v>-20.251502795839247</v>
      </c>
      <c r="AW106" s="83">
        <f ca="1">LiabilityCF!AW19*OtherAssump!$C$8</f>
        <v>-19.537625400319115</v>
      </c>
      <c r="AX106" s="83">
        <f ca="1">LiabilityCF!AX19*OtherAssump!$C$8</f>
        <v>-18.808777234264539</v>
      </c>
      <c r="AY106" s="83">
        <f ca="1">LiabilityCF!AY19*OtherAssump!$C$8</f>
        <v>-18.0649086873585</v>
      </c>
      <c r="AZ106" s="83">
        <f ca="1">LiabilityCF!AZ19*OtherAssump!$C$8</f>
        <v>-17.311627774547546</v>
      </c>
      <c r="BA106" s="83">
        <f ca="1">LiabilityCF!BA19*OtherAssump!$C$8</f>
        <v>-16.560660645009413</v>
      </c>
      <c r="BB106" s="83">
        <f ca="1">LiabilityCF!BB19*OtherAssump!$C$8</f>
        <v>-15.820406190292688</v>
      </c>
      <c r="BC106" s="83">
        <f ca="1">LiabilityCF!BC19*OtherAssump!$C$8</f>
        <v>-15.082443608762347</v>
      </c>
      <c r="BD106" s="83">
        <f ca="1">LiabilityCF!BD19*OtherAssump!$C$8</f>
        <v>-14.353945587411957</v>
      </c>
      <c r="BE106" s="83">
        <f ca="1">LiabilityCF!BE19*OtherAssump!$C$8</f>
        <v>-13.641774823632414</v>
      </c>
      <c r="BF106" s="83">
        <f ca="1">LiabilityCF!BF19*OtherAssump!$C$8</f>
        <v>-12.942485592216419</v>
      </c>
      <c r="BG106" s="83">
        <f ca="1">LiabilityCF!BG19*OtherAssump!$C$8</f>
        <v>-12.255540114084607</v>
      </c>
      <c r="BH106" s="83">
        <f ca="1">LiabilityCF!BH19*OtherAssump!$C$8</f>
        <v>-11.578826267149219</v>
      </c>
      <c r="BI106" s="83">
        <f ca="1">LiabilityCF!BI19*OtherAssump!$C$8</f>
        <v>-10.908612319912219</v>
      </c>
      <c r="BJ106" s="83">
        <f ca="1">LiabilityCF!BJ19*OtherAssump!$C$8</f>
        <v>-10.256406530042241</v>
      </c>
      <c r="BK106" s="83">
        <f ca="1">LiabilityCF!BK19*OtherAssump!$C$8</f>
        <v>-9.6393257859066157</v>
      </c>
      <c r="BL106" s="83">
        <f ca="1">LiabilityCF!BL19*OtherAssump!$C$8</f>
        <v>-9.0431108316322018</v>
      </c>
      <c r="BM106" s="83">
        <f ca="1">LiabilityCF!BM19*OtherAssump!$C$8</f>
        <v>-8.4748988887659973</v>
      </c>
      <c r="BN106" s="83">
        <f ca="1">LiabilityCF!BN19*OtherAssump!$C$8</f>
        <v>-7.9334176771143339</v>
      </c>
      <c r="BO106" s="83">
        <f ca="1">LiabilityCF!BO19*OtherAssump!$C$8</f>
        <v>-7.4153421640409611</v>
      </c>
      <c r="BP106" s="83">
        <f ca="1">LiabilityCF!BP19*OtherAssump!$C$8</f>
        <v>-6.9275111531327749</v>
      </c>
      <c r="BQ106" s="83">
        <f ca="1">LiabilityCF!BQ19*OtherAssump!$C$8</f>
        <v>-6.4665282305217593</v>
      </c>
      <c r="BR106" s="83">
        <f ca="1">LiabilityCF!BR19*OtherAssump!$C$8</f>
        <v>-5.9899025983003682</v>
      </c>
      <c r="BS106" s="83">
        <f ca="1">LiabilityCF!BS19*OtherAssump!$C$8</f>
        <v>-5.5052847608327475</v>
      </c>
      <c r="BT106" s="83">
        <f ca="1">LiabilityCF!BT19*OtherAssump!$C$8</f>
        <v>-5.0020459843722778</v>
      </c>
      <c r="BU106" s="83">
        <f ca="1">LiabilityCF!BU19*OtherAssump!$C$8</f>
        <v>-4.5198211370671268</v>
      </c>
      <c r="BV106" s="83">
        <f ca="1">LiabilityCF!BV19*OtherAssump!$C$8</f>
        <v>-4.2107928270974062</v>
      </c>
      <c r="BW106" s="83">
        <f ca="1">LiabilityCF!BW19*OtherAssump!$C$8</f>
        <v>-3.9835592040278205</v>
      </c>
      <c r="BX106" s="83">
        <f ca="1">LiabilityCF!BX19*OtherAssump!$C$8</f>
        <v>-3.797447150801089</v>
      </c>
      <c r="BY106" s="83">
        <f ca="1">LiabilityCF!BY19*OtherAssump!$C$8</f>
        <v>-3.6460181615023988</v>
      </c>
      <c r="BZ106" s="83">
        <f ca="1">LiabilityCF!BZ19*OtherAssump!$C$8</f>
        <v>-3.5242241093743574</v>
      </c>
      <c r="CA106" s="83">
        <f ca="1">LiabilityCF!CA19*OtherAssump!$C$8</f>
        <v>-3.434835551801291</v>
      </c>
      <c r="CB106" s="83">
        <f ca="1">LiabilityCF!CB19*OtherAssump!$C$8</f>
        <v>-3.3632228840165324</v>
      </c>
      <c r="CC106" s="83">
        <f ca="1">LiabilityCF!CC19*OtherAssump!$C$8</f>
        <v>-3.3015977052328651</v>
      </c>
      <c r="CD106" s="83">
        <f ca="1">LiabilityCF!CD19*OtherAssump!$C$8</f>
        <v>-3.2397623669139239</v>
      </c>
      <c r="CE106" s="83">
        <f ca="1">LiabilityCF!CE19*OtherAssump!$C$8</f>
        <v>-3.1715955139680418</v>
      </c>
      <c r="CF106" s="83">
        <f ca="1">LiabilityCF!CF19*OtherAssump!$C$8</f>
        <v>-3.095674410734103</v>
      </c>
      <c r="CG106" s="83">
        <f ca="1">LiabilityCF!CG19*OtherAssump!$C$8</f>
        <v>-2.9929287612753877</v>
      </c>
      <c r="CH106" s="83">
        <f ca="1">LiabilityCF!CH19*OtherAssump!$C$8</f>
        <v>-2.8749848125266988</v>
      </c>
      <c r="CI106" s="83">
        <f ca="1">LiabilityCF!CI19*OtherAssump!$C$8</f>
        <v>-2.7510323259446245</v>
      </c>
      <c r="CJ106" s="83">
        <f ca="1">LiabilityCF!CJ19*OtherAssump!$C$8</f>
        <v>-2.6164852595440804</v>
      </c>
      <c r="CK106" s="83">
        <f ca="1">LiabilityCF!CK19*OtherAssump!$C$8</f>
        <v>-2.4890755049260029</v>
      </c>
      <c r="CL106" s="83">
        <f ca="1">LiabilityCF!CL19*OtherAssump!$C$8</f>
        <v>-2.3466653522804188</v>
      </c>
      <c r="CM106" s="83">
        <f ca="1">LiabilityCF!CM19*OtherAssump!$C$8</f>
        <v>-2.1879791582829986</v>
      </c>
      <c r="CN106" s="83">
        <f ca="1">LiabilityCF!CN19*OtherAssump!$C$8</f>
        <v>-2.0057205197892567</v>
      </c>
      <c r="CO106" s="83">
        <f ca="1">LiabilityCF!CO19*OtherAssump!$C$8</f>
        <v>-1.8013140765181126</v>
      </c>
      <c r="CP106" s="83">
        <f ca="1">LiabilityCF!CP19*OtherAssump!$C$8</f>
        <v>-1.5973928302765219</v>
      </c>
      <c r="CQ106" s="83">
        <f ca="1">LiabilityCF!CQ19*OtherAssump!$C$8</f>
        <v>-1.3959639657016707</v>
      </c>
      <c r="CR106" s="83">
        <f ca="1">LiabilityCF!CR19*OtherAssump!$C$8</f>
        <v>-1.2153733881781974</v>
      </c>
      <c r="CS106" s="83">
        <f ca="1">LiabilityCF!CS19*OtherAssump!$C$8</f>
        <v>-1.0398500869791514</v>
      </c>
      <c r="CT106" s="83">
        <f ca="1">LiabilityCF!CT19*OtherAssump!$C$8</f>
        <v>-0.86548627602152151</v>
      </c>
      <c r="CU106" s="83">
        <f ca="1">LiabilityCF!CU19*OtherAssump!$C$8</f>
        <v>-0.70380032990429153</v>
      </c>
      <c r="CV106" s="83">
        <f ca="1">LiabilityCF!CV19*OtherAssump!$C$8</f>
        <v>-0.55782113539052591</v>
      </c>
      <c r="CW106" s="83">
        <f ca="1">LiabilityCF!CW19*OtherAssump!$C$8</f>
        <v>-0.42883784369110139</v>
      </c>
      <c r="CX106" s="83">
        <f ca="1">LiabilityCF!CX19*OtherAssump!$C$8</f>
        <v>-0.32265354352412273</v>
      </c>
      <c r="CY106" s="83">
        <f ca="1">LiabilityCF!CY19*OtherAssump!$C$8</f>
        <v>-0.23499495695484426</v>
      </c>
      <c r="CZ106" s="83">
        <f ca="1">LiabilityCF!CZ19*OtherAssump!$C$8</f>
        <v>-0.16879280176493516</v>
      </c>
      <c r="DA106" s="83">
        <f ca="1">LiabilityCF!DA19*OtherAssump!$C$8</f>
        <v>0</v>
      </c>
      <c r="DB106" s="83">
        <f ca="1">LiabilityCF!DB19*OtherAssump!$C$8</f>
        <v>0</v>
      </c>
      <c r="DC106" s="83">
        <f ca="1">LiabilityCF!DC19*OtherAssump!$C$8</f>
        <v>0</v>
      </c>
      <c r="DD106" s="83">
        <f ca="1">LiabilityCF!DD19*OtherAssump!$C$8</f>
        <v>0</v>
      </c>
      <c r="DE106" s="83">
        <f ca="1">LiabilityCF!DE19*OtherAssump!$C$8</f>
        <v>0</v>
      </c>
      <c r="DF106" s="83">
        <f ca="1">LiabilityCF!DF19*OtherAssump!$C$8</f>
        <v>0</v>
      </c>
      <c r="DG106" s="83">
        <f ca="1">LiabilityCF!DG19*OtherAssump!$C$8</f>
        <v>0</v>
      </c>
      <c r="DH106" s="83">
        <f ca="1">LiabilityCF!DH19*OtherAssump!$C$8</f>
        <v>0</v>
      </c>
      <c r="DI106" s="83">
        <f ca="1">LiabilityCF!DI19*OtherAssump!$C$8</f>
        <v>0</v>
      </c>
      <c r="DJ106" s="83">
        <f ca="1">LiabilityCF!DJ19*OtherAssump!$C$8</f>
        <v>0</v>
      </c>
      <c r="DK106" s="83">
        <f ca="1">LiabilityCF!DK19*OtherAssump!$C$8</f>
        <v>0</v>
      </c>
      <c r="DL106" s="83">
        <f ca="1">LiabilityCF!DL19*OtherAssump!$C$8</f>
        <v>0</v>
      </c>
      <c r="DM106" s="83">
        <f ca="1">LiabilityCF!DM19*OtherAssump!$C$8</f>
        <v>0</v>
      </c>
      <c r="DN106" s="83">
        <f ca="1">LiabilityCF!DN19*OtherAssump!$C$8</f>
        <v>0</v>
      </c>
      <c r="DO106" s="83">
        <f ca="1">LiabilityCF!DO19*OtherAssump!$C$8</f>
        <v>0</v>
      </c>
      <c r="DP106" s="83">
        <f ca="1">LiabilityCF!DP19*OtherAssump!$C$8</f>
        <v>0</v>
      </c>
      <c r="DQ106" s="83">
        <f ca="1">LiabilityCF!DQ19*OtherAssump!$C$8</f>
        <v>0</v>
      </c>
      <c r="DR106" s="83">
        <f ca="1">LiabilityCF!DR19*OtherAssump!$C$8</f>
        <v>0</v>
      </c>
      <c r="DS106" s="83">
        <f ca="1">LiabilityCF!DS19*OtherAssump!$C$8</f>
        <v>0</v>
      </c>
      <c r="DT106" s="83">
        <f ca="1">LiabilityCF!DT19*OtherAssump!$C$8</f>
        <v>0</v>
      </c>
      <c r="DU106" s="83">
        <f ca="1">LiabilityCF!DU19*OtherAssump!$C$8</f>
        <v>0</v>
      </c>
      <c r="DV106" s="83">
        <f ca="1">LiabilityCF!DV19*OtherAssump!$C$8</f>
        <v>0</v>
      </c>
      <c r="DW106" s="83">
        <f ca="1">LiabilityCF!DW19*OtherAssump!$C$8</f>
        <v>0</v>
      </c>
      <c r="DX106" s="83">
        <f ca="1">LiabilityCF!DX19*OtherAssump!$C$8</f>
        <v>0</v>
      </c>
      <c r="DY106" s="83">
        <f ca="1">LiabilityCF!DY19*OtherAssump!$C$8</f>
        <v>0</v>
      </c>
      <c r="DZ106" s="83">
        <f ca="1">LiabilityCF!DZ19*OtherAssump!$C$8</f>
        <v>0</v>
      </c>
      <c r="EA106" s="83">
        <f ca="1">LiabilityCF!EA19*OtherAssump!$C$8</f>
        <v>0</v>
      </c>
      <c r="EB106" s="83">
        <f ca="1">LiabilityCF!EB19*OtherAssump!$C$8</f>
        <v>0</v>
      </c>
      <c r="EC106" s="83">
        <f ca="1">LiabilityCF!EC19*OtherAssump!$C$8</f>
        <v>0</v>
      </c>
      <c r="ED106" s="83">
        <f ca="1">LiabilityCF!ED19*OtherAssump!$C$8</f>
        <v>0</v>
      </c>
      <c r="EE106" s="83">
        <f ca="1">LiabilityCF!EE19*OtherAssump!$C$8</f>
        <v>0</v>
      </c>
      <c r="EF106" s="83">
        <f ca="1">LiabilityCF!EF19*OtherAssump!$C$8</f>
        <v>0</v>
      </c>
      <c r="EG106" s="83">
        <f ca="1">LiabilityCF!EG19*OtherAssump!$C$8</f>
        <v>0</v>
      </c>
      <c r="EH106" s="83">
        <f ca="1">LiabilityCF!EH19*OtherAssump!$C$8</f>
        <v>0</v>
      </c>
      <c r="EI106" s="83">
        <f ca="1">LiabilityCF!EI19*OtherAssump!$C$8</f>
        <v>0</v>
      </c>
      <c r="EJ106" s="83">
        <f ca="1">LiabilityCF!EJ19*OtherAssump!$C$8</f>
        <v>0</v>
      </c>
      <c r="EK106" s="83">
        <f ca="1">LiabilityCF!EK19*OtherAssump!$C$8</f>
        <v>0</v>
      </c>
      <c r="EL106" s="83">
        <f ca="1">LiabilityCF!EL19*OtherAssump!$C$8</f>
        <v>0</v>
      </c>
    </row>
    <row r="107" spans="2:142" s="2" customFormat="1">
      <c r="B107" s="51" t="s">
        <v>62</v>
      </c>
      <c r="C107" s="83"/>
      <c r="D107" s="83">
        <f ca="1">LiabilityCF!D20*OtherAssump!$C$8</f>
        <v>0</v>
      </c>
      <c r="E107" s="83">
        <f ca="1">LiabilityCF!E20*OtherAssump!$C$8</f>
        <v>-0.36874132674294707</v>
      </c>
      <c r="F107" s="83">
        <f ca="1">LiabilityCF!F20*OtherAssump!$C$8</f>
        <v>-0.82244192600352917</v>
      </c>
      <c r="G107" s="83">
        <f ca="1">LiabilityCF!G20*OtherAssump!$C$8</f>
        <v>-1.5182863575287227</v>
      </c>
      <c r="H107" s="83">
        <f ca="1">LiabilityCF!H20*OtherAssump!$C$8</f>
        <v>-2.2986551947223335</v>
      </c>
      <c r="I107" s="83">
        <f ca="1">LiabilityCF!I20*OtherAssump!$C$8</f>
        <v>-3.9031471570526981</v>
      </c>
      <c r="J107" s="83">
        <f ca="1">LiabilityCF!J20*OtherAssump!$C$8</f>
        <v>-7.6034809401263779</v>
      </c>
      <c r="K107" s="83">
        <f ca="1">LiabilityCF!K20*OtherAssump!$C$8</f>
        <v>-14.810739859191251</v>
      </c>
      <c r="L107" s="83">
        <f ca="1">LiabilityCF!L20*OtherAssump!$C$8</f>
        <v>-22.1363247004263</v>
      </c>
      <c r="M107" s="83">
        <f ca="1">LiabilityCF!M20*OtherAssump!$C$8</f>
        <v>-27.62527003676291</v>
      </c>
      <c r="N107" s="83">
        <f ca="1">LiabilityCF!N20*OtherAssump!$C$8</f>
        <v>-29.556802370423188</v>
      </c>
      <c r="O107" s="83">
        <f ca="1">LiabilityCF!O20*OtherAssump!$C$8</f>
        <v>-25.842918847096644</v>
      </c>
      <c r="P107" s="83">
        <f ca="1">LiabilityCF!P20*OtherAssump!$C$8</f>
        <v>-22.904879807555908</v>
      </c>
      <c r="Q107" s="83">
        <f ca="1">LiabilityCF!Q20*OtherAssump!$C$8</f>
        <v>-19.539839765068713</v>
      </c>
      <c r="R107" s="83">
        <f ca="1">LiabilityCF!R20*OtherAssump!$C$8</f>
        <v>-18.494417525382353</v>
      </c>
      <c r="S107" s="83">
        <f ca="1">LiabilityCF!S20*OtherAssump!$C$8</f>
        <v>-19.218595494298352</v>
      </c>
      <c r="T107" s="83">
        <f ca="1">LiabilityCF!T20*OtherAssump!$C$8</f>
        <v>-20.326901766992819</v>
      </c>
      <c r="U107" s="83">
        <f ca="1">LiabilityCF!U20*OtherAssump!$C$8</f>
        <v>-21.613118827362172</v>
      </c>
      <c r="V107" s="83">
        <f ca="1">LiabilityCF!V20*OtherAssump!$C$8</f>
        <v>-23.095923043633405</v>
      </c>
      <c r="W107" s="83">
        <f ca="1">LiabilityCF!W20*OtherAssump!$C$8</f>
        <v>-24.750165995020343</v>
      </c>
      <c r="X107" s="83">
        <f ca="1">LiabilityCF!X20*OtherAssump!$C$8</f>
        <v>-26.712923949393211</v>
      </c>
      <c r="Y107" s="83">
        <f ca="1">LiabilityCF!Y20*OtherAssump!$C$8</f>
        <v>-28.914143217842671</v>
      </c>
      <c r="Z107" s="83">
        <f ca="1">LiabilityCF!Z20*OtherAssump!$C$8</f>
        <v>-31.325443398192252</v>
      </c>
      <c r="AA107" s="83">
        <f ca="1">LiabilityCF!AA20*OtherAssump!$C$8</f>
        <v>-33.899928108912498</v>
      </c>
      <c r="AB107" s="83">
        <f ca="1">LiabilityCF!AB20*OtherAssump!$C$8</f>
        <v>-36.57038159297197</v>
      </c>
      <c r="AC107" s="83">
        <f ca="1">LiabilityCF!AC20*OtherAssump!$C$8</f>
        <v>-39.419613739170607</v>
      </c>
      <c r="AD107" s="83">
        <f ca="1">LiabilityCF!AD20*OtherAssump!$C$8</f>
        <v>-42.381252757055528</v>
      </c>
      <c r="AE107" s="83">
        <f ca="1">LiabilityCF!AE20*OtherAssump!$C$8</f>
        <v>-45.488190224474096</v>
      </c>
      <c r="AF107" s="83">
        <f ca="1">LiabilityCF!AF20*OtherAssump!$C$8</f>
        <v>-48.789625227650525</v>
      </c>
      <c r="AG107" s="83">
        <f ca="1">LiabilityCF!AG20*OtherAssump!$C$8</f>
        <v>-52.178310741774567</v>
      </c>
      <c r="AH107" s="83">
        <f ca="1">LiabilityCF!AH20*OtherAssump!$C$8</f>
        <v>-55.662559925389047</v>
      </c>
      <c r="AI107" s="83">
        <f ca="1">LiabilityCF!AI20*OtherAssump!$C$8</f>
        <v>-59.19356076425295</v>
      </c>
      <c r="AJ107" s="83">
        <f ca="1">LiabilityCF!AJ20*OtherAssump!$C$8</f>
        <v>-62.529063889083453</v>
      </c>
      <c r="AK107" s="83">
        <f ca="1">LiabilityCF!AK20*OtherAssump!$C$8</f>
        <v>-65.871479484126198</v>
      </c>
      <c r="AL107" s="83">
        <f ca="1">LiabilityCF!AL20*OtherAssump!$C$8</f>
        <v>-69.141032120006116</v>
      </c>
      <c r="AM107" s="83">
        <f ca="1">LiabilityCF!AM20*OtherAssump!$C$8</f>
        <v>-72.30586034591785</v>
      </c>
      <c r="AN107" s="83">
        <f ca="1">LiabilityCF!AN20*OtherAssump!$C$8</f>
        <v>-75.510502564291698</v>
      </c>
      <c r="AO107" s="83">
        <f ca="1">LiabilityCF!AO20*OtherAssump!$C$8</f>
        <v>-78.763924235649526</v>
      </c>
      <c r="AP107" s="83">
        <f ca="1">LiabilityCF!AP20*OtherAssump!$C$8</f>
        <v>-82.046194603987118</v>
      </c>
      <c r="AQ107" s="83">
        <f ca="1">LiabilityCF!AQ20*OtherAssump!$C$8</f>
        <v>-85.264098849589502</v>
      </c>
      <c r="AR107" s="83">
        <f ca="1">LiabilityCF!AR20*OtherAssump!$C$8</f>
        <v>-88.501689133971809</v>
      </c>
      <c r="AS107" s="83">
        <f ca="1">LiabilityCF!AS20*OtherAssump!$C$8</f>
        <v>-91.628377861430891</v>
      </c>
      <c r="AT107" s="83">
        <f ca="1">LiabilityCF!AT20*OtherAssump!$C$8</f>
        <v>-94.571637859643815</v>
      </c>
      <c r="AU107" s="83">
        <f ca="1">LiabilityCF!AU20*OtherAssump!$C$8</f>
        <v>-97.30007763574433</v>
      </c>
      <c r="AV107" s="83">
        <f ca="1">LiabilityCF!AV20*OtherAssump!$C$8</f>
        <v>-99.667809446782144</v>
      </c>
      <c r="AW107" s="83">
        <f ca="1">LiabilityCF!AW20*OtherAssump!$C$8</f>
        <v>-101.77331759041387</v>
      </c>
      <c r="AX107" s="83">
        <f ca="1">LiabilityCF!AX20*OtherAssump!$C$8</f>
        <v>-103.57719210386526</v>
      </c>
      <c r="AY107" s="83">
        <f ca="1">LiabilityCF!AY20*OtherAssump!$C$8</f>
        <v>-105.0589713198511</v>
      </c>
      <c r="AZ107" s="83">
        <f ca="1">LiabilityCF!AZ20*OtherAssump!$C$8</f>
        <v>-106.23011569798422</v>
      </c>
      <c r="BA107" s="83">
        <f ca="1">LiabilityCF!BA20*OtherAssump!$C$8</f>
        <v>-107.03967338153201</v>
      </c>
      <c r="BB107" s="83">
        <f ca="1">LiabilityCF!BB20*OtherAssump!$C$8</f>
        <v>-107.47921309728</v>
      </c>
      <c r="BC107" s="83">
        <f ca="1">LiabilityCF!BC20*OtherAssump!$C$8</f>
        <v>-107.6208681239991</v>
      </c>
      <c r="BD107" s="83">
        <f ca="1">LiabilityCF!BD20*OtherAssump!$C$8</f>
        <v>-107.549217624432</v>
      </c>
      <c r="BE107" s="83">
        <f ca="1">LiabilityCF!BE20*OtherAssump!$C$8</f>
        <v>-107.36117271526993</v>
      </c>
      <c r="BF107" s="83">
        <f ca="1">LiabilityCF!BF20*OtherAssump!$C$8</f>
        <v>-107.04187060587046</v>
      </c>
      <c r="BG107" s="83">
        <f ca="1">LiabilityCF!BG20*OtherAssump!$C$8</f>
        <v>-106.464843167376</v>
      </c>
      <c r="BH107" s="83">
        <f ca="1">LiabilityCF!BH20*OtherAssump!$C$8</f>
        <v>-105.62618662537334</v>
      </c>
      <c r="BI107" s="83">
        <f ca="1">LiabilityCF!BI20*OtherAssump!$C$8</f>
        <v>-104.45488226276343</v>
      </c>
      <c r="BJ107" s="83">
        <f ca="1">LiabilityCF!BJ20*OtherAssump!$C$8</f>
        <v>-103.00768456261</v>
      </c>
      <c r="BK107" s="83">
        <f ca="1">LiabilityCF!BK20*OtherAssump!$C$8</f>
        <v>-101.36046519018022</v>
      </c>
      <c r="BL107" s="83">
        <f ca="1">LiabilityCF!BL20*OtherAssump!$C$8</f>
        <v>-99.510370217877067</v>
      </c>
      <c r="BM107" s="83">
        <f ca="1">LiabilityCF!BM20*OtherAssump!$C$8</f>
        <v>-97.469440619760263</v>
      </c>
      <c r="BN107" s="83">
        <f ca="1">LiabilityCF!BN20*OtherAssump!$C$8</f>
        <v>-95.25785815041489</v>
      </c>
      <c r="BO107" s="83">
        <f ca="1">LiabilityCF!BO20*OtherAssump!$C$8</f>
        <v>-92.895042852527808</v>
      </c>
      <c r="BP107" s="83">
        <f ca="1">LiabilityCF!BP20*OtherAssump!$C$8</f>
        <v>-90.403057453691204</v>
      </c>
      <c r="BQ107" s="83">
        <f ca="1">LiabilityCF!BQ20*OtherAssump!$C$8</f>
        <v>-87.795689055977107</v>
      </c>
      <c r="BR107" s="83">
        <f ca="1">LiabilityCF!BR20*OtherAssump!$C$8</f>
        <v>-85.131784906369958</v>
      </c>
      <c r="BS107" s="83">
        <f ca="1">LiabilityCF!BS20*OtherAssump!$C$8</f>
        <v>-82.469407873078083</v>
      </c>
      <c r="BT107" s="83">
        <f ca="1">LiabilityCF!BT20*OtherAssump!$C$8</f>
        <v>-79.830017779642802</v>
      </c>
      <c r="BU107" s="83">
        <f ca="1">LiabilityCF!BU20*OtherAssump!$C$8</f>
        <v>-77.30687063910473</v>
      </c>
      <c r="BV107" s="83">
        <f ca="1">LiabilityCF!BV20*OtherAssump!$C$8</f>
        <v>-75.010703667623702</v>
      </c>
      <c r="BW107" s="83">
        <f ca="1">LiabilityCF!BW20*OtherAssump!$C$8</f>
        <v>-73.022226002193889</v>
      </c>
      <c r="BX107" s="83">
        <f ca="1">LiabilityCF!BX20*OtherAssump!$C$8</f>
        <v>-71.467011029130731</v>
      </c>
      <c r="BY107" s="83">
        <f ca="1">LiabilityCF!BY20*OtherAssump!$C$8</f>
        <v>-70.410038116174832</v>
      </c>
      <c r="BZ107" s="83">
        <f ca="1">LiabilityCF!BZ20*OtherAssump!$C$8</f>
        <v>-69.880334541846281</v>
      </c>
      <c r="CA107" s="83">
        <f ca="1">LiabilityCF!CA20*OtherAssump!$C$8</f>
        <v>-70.002642523511014</v>
      </c>
      <c r="CB107" s="83">
        <f ca="1">LiabilityCF!CB20*OtherAssump!$C$8</f>
        <v>-70.674032333185409</v>
      </c>
      <c r="CC107" s="83">
        <f ca="1">LiabilityCF!CC20*OtherAssump!$C$8</f>
        <v>-71.795766093089071</v>
      </c>
      <c r="CD107" s="83">
        <f ca="1">LiabilityCF!CD20*OtherAssump!$C$8</f>
        <v>-73.323642672865688</v>
      </c>
      <c r="CE107" s="83">
        <f ca="1">LiabilityCF!CE20*OtherAssump!$C$8</f>
        <v>-74.975513311139025</v>
      </c>
      <c r="CF107" s="83">
        <f ca="1">LiabilityCF!CF20*OtherAssump!$C$8</f>
        <v>-76.796531535917836</v>
      </c>
      <c r="CG107" s="83">
        <f ca="1">LiabilityCF!CG20*OtherAssump!$C$8</f>
        <v>-78.559160750430294</v>
      </c>
      <c r="CH107" s="83">
        <f ca="1">LiabilityCF!CH20*OtherAssump!$C$8</f>
        <v>-80.203158219354918</v>
      </c>
      <c r="CI107" s="83">
        <f ca="1">LiabilityCF!CI20*OtherAssump!$C$8</f>
        <v>-81.855889348917074</v>
      </c>
      <c r="CJ107" s="83">
        <f ca="1">LiabilityCF!CJ20*OtherAssump!$C$8</f>
        <v>-83.269125856674037</v>
      </c>
      <c r="CK107" s="83">
        <f ca="1">LiabilityCF!CK20*OtherAssump!$C$8</f>
        <v>-84.715068791812115</v>
      </c>
      <c r="CL107" s="83">
        <f ca="1">LiabilityCF!CL20*OtherAssump!$C$8</f>
        <v>-85.869548972125955</v>
      </c>
      <c r="CM107" s="83">
        <f ca="1">LiabilityCF!CM20*OtherAssump!$C$8</f>
        <v>-86.594737054642451</v>
      </c>
      <c r="CN107" s="83">
        <f ca="1">LiabilityCF!CN20*OtherAssump!$C$8</f>
        <v>-86.812374081977737</v>
      </c>
      <c r="CO107" s="83">
        <f ca="1">LiabilityCF!CO20*OtherAssump!$C$8</f>
        <v>-86.07374147324721</v>
      </c>
      <c r="CP107" s="83">
        <f ca="1">LiabilityCF!CP20*OtherAssump!$C$8</f>
        <v>-84.439361023244857</v>
      </c>
      <c r="CQ107" s="83">
        <f ca="1">LiabilityCF!CQ20*OtherAssump!$C$8</f>
        <v>-81.604752740744686</v>
      </c>
      <c r="CR107" s="83">
        <f ca="1">LiabilityCF!CR20*OtherAssump!$C$8</f>
        <v>-77.432992533705871</v>
      </c>
      <c r="CS107" s="83">
        <f ca="1">LiabilityCF!CS20*OtherAssump!$C$8</f>
        <v>-72.342613354304561</v>
      </c>
      <c r="CT107" s="83">
        <f ca="1">LiabilityCF!CT20*OtherAssump!$C$8</f>
        <v>-65.980981362269574</v>
      </c>
      <c r="CU107" s="83">
        <f ca="1">LiabilityCF!CU20*OtherAssump!$C$8</f>
        <v>-59.014127906003779</v>
      </c>
      <c r="CV107" s="83">
        <f ca="1">LiabilityCF!CV20*OtherAssump!$C$8</f>
        <v>-51.661434538142323</v>
      </c>
      <c r="CW107" s="83">
        <f ca="1">LiabilityCF!CW20*OtherAssump!$C$8</f>
        <v>-44.061235500639469</v>
      </c>
      <c r="CX107" s="83">
        <f ca="1">LiabilityCF!CX20*OtherAssump!$C$8</f>
        <v>-36.843906422349058</v>
      </c>
      <c r="CY107" s="83">
        <f ca="1">LiabilityCF!CY20*OtherAssump!$C$8</f>
        <v>-29.99359657955689</v>
      </c>
      <c r="CZ107" s="83">
        <f ca="1">LiabilityCF!CZ20*OtherAssump!$C$8</f>
        <v>-24.416951684277151</v>
      </c>
      <c r="DA107" s="83">
        <f ca="1">LiabilityCF!DA20*OtherAssump!$C$8</f>
        <v>0</v>
      </c>
      <c r="DB107" s="83">
        <f ca="1">LiabilityCF!DB20*OtherAssump!$C$8</f>
        <v>0</v>
      </c>
      <c r="DC107" s="83">
        <f ca="1">LiabilityCF!DC20*OtherAssump!$C$8</f>
        <v>0</v>
      </c>
      <c r="DD107" s="83">
        <f ca="1">LiabilityCF!DD20*OtherAssump!$C$8</f>
        <v>0</v>
      </c>
      <c r="DE107" s="83">
        <f ca="1">LiabilityCF!DE20*OtherAssump!$C$8</f>
        <v>0</v>
      </c>
      <c r="DF107" s="83">
        <f ca="1">LiabilityCF!DF20*OtherAssump!$C$8</f>
        <v>0</v>
      </c>
      <c r="DG107" s="83">
        <f ca="1">LiabilityCF!DG20*OtherAssump!$C$8</f>
        <v>0</v>
      </c>
      <c r="DH107" s="83">
        <f ca="1">LiabilityCF!DH20*OtherAssump!$C$8</f>
        <v>0</v>
      </c>
      <c r="DI107" s="83">
        <f ca="1">LiabilityCF!DI20*OtherAssump!$C$8</f>
        <v>0</v>
      </c>
      <c r="DJ107" s="83">
        <f ca="1">LiabilityCF!DJ20*OtherAssump!$C$8</f>
        <v>0</v>
      </c>
      <c r="DK107" s="83">
        <f ca="1">LiabilityCF!DK20*OtherAssump!$C$8</f>
        <v>0</v>
      </c>
      <c r="DL107" s="83">
        <f ca="1">LiabilityCF!DL20*OtherAssump!$C$8</f>
        <v>0</v>
      </c>
      <c r="DM107" s="83">
        <f ca="1">LiabilityCF!DM20*OtherAssump!$C$8</f>
        <v>0</v>
      </c>
      <c r="DN107" s="83">
        <f ca="1">LiabilityCF!DN20*OtherAssump!$C$8</f>
        <v>0</v>
      </c>
      <c r="DO107" s="83">
        <f ca="1">LiabilityCF!DO20*OtherAssump!$C$8</f>
        <v>0</v>
      </c>
      <c r="DP107" s="83">
        <f ca="1">LiabilityCF!DP20*OtherAssump!$C$8</f>
        <v>0</v>
      </c>
      <c r="DQ107" s="83">
        <f ca="1">LiabilityCF!DQ20*OtherAssump!$C$8</f>
        <v>0</v>
      </c>
      <c r="DR107" s="83">
        <f ca="1">LiabilityCF!DR20*OtherAssump!$C$8</f>
        <v>0</v>
      </c>
      <c r="DS107" s="83">
        <f ca="1">LiabilityCF!DS20*OtherAssump!$C$8</f>
        <v>0</v>
      </c>
      <c r="DT107" s="83">
        <f ca="1">LiabilityCF!DT20*OtherAssump!$C$8</f>
        <v>0</v>
      </c>
      <c r="DU107" s="83">
        <f ca="1">LiabilityCF!DU20*OtherAssump!$C$8</f>
        <v>0</v>
      </c>
      <c r="DV107" s="83">
        <f ca="1">LiabilityCF!DV20*OtherAssump!$C$8</f>
        <v>0</v>
      </c>
      <c r="DW107" s="83">
        <f ca="1">LiabilityCF!DW20*OtherAssump!$C$8</f>
        <v>0</v>
      </c>
      <c r="DX107" s="83">
        <f ca="1">LiabilityCF!DX20*OtherAssump!$C$8</f>
        <v>0</v>
      </c>
      <c r="DY107" s="83">
        <f ca="1">LiabilityCF!DY20*OtherAssump!$C$8</f>
        <v>0</v>
      </c>
      <c r="DZ107" s="83">
        <f ca="1">LiabilityCF!DZ20*OtherAssump!$C$8</f>
        <v>0</v>
      </c>
      <c r="EA107" s="83">
        <f ca="1">LiabilityCF!EA20*OtherAssump!$C$8</f>
        <v>0</v>
      </c>
      <c r="EB107" s="83">
        <f ca="1">LiabilityCF!EB20*OtherAssump!$C$8</f>
        <v>0</v>
      </c>
      <c r="EC107" s="83">
        <f ca="1">LiabilityCF!EC20*OtherAssump!$C$8</f>
        <v>0</v>
      </c>
      <c r="ED107" s="83">
        <f ca="1">LiabilityCF!ED20*OtherAssump!$C$8</f>
        <v>0</v>
      </c>
      <c r="EE107" s="83">
        <f ca="1">LiabilityCF!EE20*OtherAssump!$C$8</f>
        <v>0</v>
      </c>
      <c r="EF107" s="83">
        <f ca="1">LiabilityCF!EF20*OtherAssump!$C$8</f>
        <v>0</v>
      </c>
      <c r="EG107" s="83">
        <f ca="1">LiabilityCF!EG20*OtherAssump!$C$8</f>
        <v>0</v>
      </c>
      <c r="EH107" s="83">
        <f ca="1">LiabilityCF!EH20*OtherAssump!$C$8</f>
        <v>0</v>
      </c>
      <c r="EI107" s="83">
        <f ca="1">LiabilityCF!EI20*OtherAssump!$C$8</f>
        <v>0</v>
      </c>
      <c r="EJ107" s="83">
        <f ca="1">LiabilityCF!EJ20*OtherAssump!$C$8</f>
        <v>0</v>
      </c>
      <c r="EK107" s="83">
        <f ca="1">LiabilityCF!EK20*OtherAssump!$C$8</f>
        <v>0</v>
      </c>
      <c r="EL107" s="83">
        <f ca="1">LiabilityCF!EL20*OtherAssump!$C$8</f>
        <v>0</v>
      </c>
    </row>
    <row r="108" spans="2:142" s="2" customFormat="1">
      <c r="B108" s="51" t="s">
        <v>61</v>
      </c>
      <c r="C108" s="83"/>
      <c r="D108" s="84">
        <f ca="1">IF(LiabilityCF!D22=0,0,C111*C51+SUM(D105:D107,D109)*((1+C51)^0.5-1))</f>
        <v>0.98662567708090909</v>
      </c>
      <c r="E108" s="84">
        <f ca="1">IF(LiabilityCF!E22=0,0,D111*D51+SUM(E105:E107,E109)*((1+D51)^0.5-1))</f>
        <v>5.2493048096725428</v>
      </c>
      <c r="F108" s="84">
        <f ca="1">IF(LiabilityCF!F22=0,0,E111*E51+SUM(F105:F107,F109)*((1+E51)^0.5-1))</f>
        <v>14.251689380505688</v>
      </c>
      <c r="G108" s="84">
        <f ca="1">IF(LiabilityCF!G22=0,0,F111*F51+SUM(G105:G107,G109)*((1+F51)^0.5-1))</f>
        <v>28.330295012323241</v>
      </c>
      <c r="H108" s="84">
        <f ca="1">IF(LiabilityCF!H22=0,0,G111*G51+SUM(H105:H107,H109)*((1+G51)^0.5-1))</f>
        <v>46.69512609274004</v>
      </c>
      <c r="I108" s="84">
        <f ca="1">IF(LiabilityCF!I22=0,0,H111*H51+SUM(I105:I107,I109)*((1+H51)^0.5-1))</f>
        <v>63.193287035334748</v>
      </c>
      <c r="J108" s="84">
        <f ca="1">IF(LiabilityCF!J22=0,0,I111*I51+SUM(J105:J107,J109)*((1+I51)^0.5-1))</f>
        <v>76.254898483172212</v>
      </c>
      <c r="K108" s="84">
        <f ca="1">IF(LiabilityCF!K22=0,0,J111*J51+SUM(K105:K107,K109)*((1+J51)^0.5-1))</f>
        <v>84.907270101571854</v>
      </c>
      <c r="L108" s="84">
        <f ca="1">IF(LiabilityCF!L22=0,0,K111*K51+SUM(L105:L107,L109)*((1+K51)^0.5-1))</f>
        <v>88.009858963673963</v>
      </c>
      <c r="M108" s="84">
        <f ca="1">IF(LiabilityCF!M22=0,0,L111*L51+SUM(M105:M107,M109)*((1+L51)^0.5-1))</f>
        <v>89.036250034095872</v>
      </c>
      <c r="N108" s="84">
        <f ca="1">IF(LiabilityCF!N22=0,0,M111*M51+SUM(N105:N107,N109)*((1+M51)^0.5-1))</f>
        <v>88.64928430209882</v>
      </c>
      <c r="O108" s="84">
        <f ca="1">IF(LiabilityCF!O22=0,0,N111*N51+SUM(O105:O107,O109)*((1+N51)^0.5-1))</f>
        <v>89.174735243724115</v>
      </c>
      <c r="P108" s="84">
        <f ca="1">IF(LiabilityCF!P22=0,0,O111*O51+SUM(P105:P107,P109)*((1+O51)^0.5-1))</f>
        <v>90.894405524575149</v>
      </c>
      <c r="Q108" s="84">
        <f ca="1">IF(LiabilityCF!Q22=0,0,P111*P51+SUM(Q105:Q107,Q109)*((1+P51)^0.5-1))</f>
        <v>93.430438072873983</v>
      </c>
      <c r="R108" s="84">
        <f ca="1">IF(LiabilityCF!R22=0,0,Q111*Q51+SUM(R105:R107,R109)*((1+Q51)^0.5-1))</f>
        <v>96.822972704509752</v>
      </c>
      <c r="S108" s="84">
        <f ca="1">IF(LiabilityCF!S22=0,0,R111*R51+SUM(S105:S107,S109)*((1+R51)^0.5-1))</f>
        <v>100.67853040258233</v>
      </c>
      <c r="T108" s="84">
        <f ca="1">IF(LiabilityCF!T22=0,0,S111*S51+SUM(T105:T107,T109)*((1+S51)^0.5-1))</f>
        <v>104.68272693394536</v>
      </c>
      <c r="U108" s="84">
        <f ca="1">IF(LiabilityCF!U22=0,0,T111*T51+SUM(U105:U107,U109)*((1+T51)^0.5-1))</f>
        <v>108.80070953675501</v>
      </c>
      <c r="V108" s="84">
        <f ca="1">IF(LiabilityCF!V22=0,0,U111*U51+SUM(V105:V107,V109)*((1+U51)^0.5-1))</f>
        <v>113.05873169240073</v>
      </c>
      <c r="W108" s="84">
        <f ca="1">IF(LiabilityCF!W22=0,0,V111*V51+SUM(W105:W107,W109)*((1+V51)^0.5-1))</f>
        <v>117.44078154408355</v>
      </c>
      <c r="X108" s="84">
        <f ca="1">IF(LiabilityCF!X22=0,0,W111*W51+SUM(X105:X107,X109)*((1+W51)^0.5-1))</f>
        <v>121.93333165713548</v>
      </c>
      <c r="Y108" s="84">
        <f ca="1">IF(LiabilityCF!Y22=0,0,X111*X51+SUM(Y105:Y107,Y109)*((1+X51)^0.5-1))</f>
        <v>126.51120578165369</v>
      </c>
      <c r="Z108" s="84">
        <f ca="1">IF(LiabilityCF!Z22=0,0,Y111*Y51+SUM(Z105:Z107,Z109)*((1+Y51)^0.5-1))</f>
        <v>131.21836788176248</v>
      </c>
      <c r="AA108" s="84">
        <f ca="1">IF(LiabilityCF!AA22=0,0,Z111*Z51+SUM(AA105:AA107,AA109)*((1+Z51)^0.5-1))</f>
        <v>136.0407566246304</v>
      </c>
      <c r="AB108" s="84">
        <f ca="1">IF(LiabilityCF!AB22=0,0,AA111*AA51+SUM(AB105:AB107,AB109)*((1+AA51)^0.5-1))</f>
        <v>140.99414937963101</v>
      </c>
      <c r="AC108" s="84">
        <f ca="1">IF(LiabilityCF!AC22=0,0,AB111*AB51+SUM(AC105:AC107,AC109)*((1+AB51)^0.5-1))</f>
        <v>146.10465196657481</v>
      </c>
      <c r="AD108" s="84">
        <f ca="1">IF(LiabilityCF!AD22=0,0,AC111*AC51+SUM(AD105:AD107,AD109)*((1+AC51)^0.5-1))</f>
        <v>151.37530029518328</v>
      </c>
      <c r="AE108" s="84">
        <f ca="1">IF(LiabilityCF!AE22=0,0,AD111*AD51+SUM(AE105:AE107,AE109)*((1+AD51)^0.5-1))</f>
        <v>156.76294495745739</v>
      </c>
      <c r="AF108" s="84">
        <f ca="1">IF(LiabilityCF!AF22=0,0,AE111*AE51+SUM(AF105:AF107,AF109)*((1+AE51)^0.5-1))</f>
        <v>162.23934783881239</v>
      </c>
      <c r="AG108" s="84">
        <f ca="1">IF(LiabilityCF!AG22=0,0,AF111*AF51+SUM(AG105:AG107,AG109)*((1+AF51)^0.5-1))</f>
        <v>167.82577076894279</v>
      </c>
      <c r="AH108" s="84">
        <f ca="1">IF(LiabilityCF!AH22=0,0,AG111*AG51+SUM(AH105:AH107,AH109)*((1+AG51)^0.5-1))</f>
        <v>173.69417112575414</v>
      </c>
      <c r="AI108" s="84">
        <f ca="1">IF(LiabilityCF!AI22=0,0,AH111*AH51+SUM(AI105:AI107,AI109)*((1+AH51)^0.5-1))</f>
        <v>179.56776007425191</v>
      </c>
      <c r="AJ108" s="84">
        <f ca="1">IF(LiabilityCF!AJ22=0,0,AI111*AI51+SUM(AJ105:AJ107,AJ109)*((1+AI51)^0.5-1))</f>
        <v>186.02762693553336</v>
      </c>
      <c r="AK108" s="84">
        <f ca="1">IF(LiabilityCF!AK22=0,0,AJ111*AJ51+SUM(AK105:AK107,AK109)*((1+AJ51)^0.5-1))</f>
        <v>192.69035933703711</v>
      </c>
      <c r="AL108" s="84">
        <f ca="1">IF(LiabilityCF!AL22=0,0,AK111*AK51+SUM(AL105:AL107,AL109)*((1+AK51)^0.5-1))</f>
        <v>199.5719450025893</v>
      </c>
      <c r="AM108" s="84">
        <f ca="1">IF(LiabilityCF!AM22=0,0,AL111*AL51+SUM(AM105:AM107,AM109)*((1+AL51)^0.5-1))</f>
        <v>206.73235701984166</v>
      </c>
      <c r="AN108" s="84">
        <f ca="1">IF(LiabilityCF!AN22=0,0,AM111*AM51+SUM(AN105:AN107,AN109)*((1+AM51)^0.5-1))</f>
        <v>214.21721747162286</v>
      </c>
      <c r="AO108" s="84">
        <f ca="1">IF(LiabilityCF!AO22=0,0,AN111*AN51+SUM(AO105:AO107,AO109)*((1+AN51)^0.5-1))</f>
        <v>222.01461088811658</v>
      </c>
      <c r="AP108" s="84">
        <f ca="1">IF(LiabilityCF!AP22=0,0,AO111*AO51+SUM(AP105:AP107,AP109)*((1+AO51)^0.5-1))</f>
        <v>230.16296767061141</v>
      </c>
      <c r="AQ108" s="84">
        <f ca="1">IF(LiabilityCF!AQ22=0,0,AP111*AP51+SUM(AQ105:AQ107,AQ109)*((1+AP51)^0.5-1))</f>
        <v>238.69707544796944</v>
      </c>
      <c r="AR108" s="84">
        <f ca="1">IF(LiabilityCF!AR22=0,0,AQ111*AQ51+SUM(AR105:AR107,AR109)*((1+AQ51)^0.5-1))</f>
        <v>247.64577488035638</v>
      </c>
      <c r="AS108" s="84">
        <f ca="1">IF(LiabilityCF!AS22=0,0,AR111*AR51+SUM(AS105:AS107,AS109)*((1+AR51)^0.5-1))</f>
        <v>257.0473414600649</v>
      </c>
      <c r="AT108" s="84">
        <f ca="1">IF(LiabilityCF!AT22=0,0,AS111*AS51+SUM(AT105:AT107,AT109)*((1+AS51)^0.5-1))</f>
        <v>266.3085101746538</v>
      </c>
      <c r="AU108" s="84">
        <f ca="1">IF(LiabilityCF!AU22=0,0,AT111*AT51+SUM(AU105:AU107,AU109)*((1+AT51)^0.5-1))</f>
        <v>276.03205810535974</v>
      </c>
      <c r="AV108" s="84">
        <f ca="1">IF(LiabilityCF!AV22=0,0,AU111*AU51+SUM(AV105:AV107,AV109)*((1+AU51)^0.5-1))</f>
        <v>286.2695585212673</v>
      </c>
      <c r="AW108" s="84">
        <f ca="1">IF(LiabilityCF!AW22=0,0,AV111*AV51+SUM(AW105:AW107,AW109)*((1+AV51)^0.5-1))</f>
        <v>297.08427690021006</v>
      </c>
      <c r="AX108" s="84">
        <f ca="1">IF(LiabilityCF!AX22=0,0,AW111*AW51+SUM(AX105:AX107,AX109)*((1+AW51)^0.5-1))</f>
        <v>308.53760430601454</v>
      </c>
      <c r="AY108" s="84">
        <f ca="1">IF(LiabilityCF!AY22=0,0,AX111*AX51+SUM(AY105:AY107,AY109)*((1+AX51)^0.5-1))</f>
        <v>320.69758072948366</v>
      </c>
      <c r="AZ108" s="84">
        <f ca="1">IF(LiabilityCF!AZ22=0,0,AY111*AY51+SUM(AZ105:AZ107,AZ109)*((1+AY51)^0.5-1))</f>
        <v>333.69851662920502</v>
      </c>
      <c r="BA108" s="84">
        <f ca="1">IF(LiabilityCF!BA22=0,0,AZ111*AZ51+SUM(BA105:BA107,BA109)*((1+AZ51)^0.5-1))</f>
        <v>347.5028111453488</v>
      </c>
      <c r="BB108" s="84">
        <f ca="1">IF(LiabilityCF!BB22=0,0,BA111*BA51+SUM(BB105:BB107,BB109)*((1+BA51)^0.5-1))</f>
        <v>362.25290610388998</v>
      </c>
      <c r="BC108" s="84">
        <f ca="1">IF(LiabilityCF!BC22=0,0,BB111*BB51+SUM(BC105:BC107,BC109)*((1+BB51)^0.5-1))</f>
        <v>378.0385650091452</v>
      </c>
      <c r="BD108" s="84">
        <f ca="1">IF(LiabilityCF!BD22=0,0,BC111*BC51+SUM(BD105:BD107,BD109)*((1+BC51)^0.5-1))</f>
        <v>394.9498756616851</v>
      </c>
      <c r="BE108" s="84">
        <f ca="1">IF(LiabilityCF!BE22=0,0,BD111*BD51+SUM(BE105:BE107,BE109)*((1+BD51)^0.5-1))</f>
        <v>413.07604797290475</v>
      </c>
      <c r="BF108" s="84">
        <f ca="1">IF(LiabilityCF!BF22=0,0,BE111*BE51+SUM(BF105:BF107,BF109)*((1+BE51)^0.5-1))</f>
        <v>432.51067555926937</v>
      </c>
      <c r="BG108" s="84">
        <f ca="1">IF(LiabilityCF!BG22=0,0,BF111*BF51+SUM(BG105:BG107,BG109)*((1+BF51)^0.5-1))</f>
        <v>453.35953999130118</v>
      </c>
      <c r="BH108" s="84">
        <f ca="1">IF(LiabilityCF!BH22=0,0,BG111*BG51+SUM(BH105:BH107,BH109)*((1+BG51)^0.5-1))</f>
        <v>475.74254299640296</v>
      </c>
      <c r="BI108" s="84">
        <f ca="1">IF(LiabilityCF!BI22=0,0,BH111*BH51+SUM(BI105:BI107,BI109)*((1+BH51)^0.5-1))</f>
        <v>499.79206420182987</v>
      </c>
      <c r="BJ108" s="84">
        <f ca="1">IF(LiabilityCF!BJ22=0,0,BI111*BI51+SUM(BJ105:BJ107,BJ109)*((1+BI51)^0.5-1))</f>
        <v>525.64983801086169</v>
      </c>
      <c r="BK108" s="84">
        <f ca="1">IF(LiabilityCF!BK22=0,0,BJ111*BJ51+SUM(BK105:BK107,BK109)*((1+BJ51)^0.5-1))</f>
        <v>553.46332349787554</v>
      </c>
      <c r="BL108" s="84">
        <f ca="1">IF(LiabilityCF!BL22=0,0,BK111*BK51+SUM(BL105:BL107,BL109)*((1+BK51)^0.5-1))</f>
        <v>583.38910599041969</v>
      </c>
      <c r="BM108" s="84">
        <f ca="1">IF(LiabilityCF!BM22=0,0,BL111*BL51+SUM(BM105:BM107,BM109)*((1+BL51)^0.5-1))</f>
        <v>615.5967996831406</v>
      </c>
      <c r="BN108" s="84">
        <f ca="1">IF(LiabilityCF!BN22=0,0,BM111*BM51+SUM(BN105:BN107,BN109)*((1+BM51)^0.5-1))</f>
        <v>650.2661038317093</v>
      </c>
      <c r="BO108" s="84">
        <f ca="1">IF(LiabilityCF!BO22=0,0,BN111*BN51+SUM(BO105:BO107,BO109)*((1+BN51)^0.5-1))</f>
        <v>687.58960719655317</v>
      </c>
      <c r="BP108" s="84">
        <f ca="1">IF(LiabilityCF!BP22=0,0,BO111*BO51+SUM(BP105:BP107,BP109)*((1+BO51)^0.5-1))</f>
        <v>727.77197984760926</v>
      </c>
      <c r="BQ108" s="84">
        <f ca="1">IF(LiabilityCF!BQ22=0,0,BP111*BP51+SUM(BQ105:BQ107,BQ109)*((1+BP51)^0.5-1))</f>
        <v>771.02862545212361</v>
      </c>
      <c r="BR108" s="84">
        <f ca="1">IF(LiabilityCF!BR22=0,0,BQ111*BQ51+SUM(BR105:BR107,BR109)*((1+BQ51)^0.5-1))</f>
        <v>817.59275157204661</v>
      </c>
      <c r="BS108" s="84">
        <f ca="1">IF(LiabilityCF!BS22=0,0,BR111*BR51+SUM(BS105:BS107,BS109)*((1+BR51)^0.5-1))</f>
        <v>867.70995654994078</v>
      </c>
      <c r="BT108" s="84">
        <f ca="1">IF(LiabilityCF!BT22=0,0,BS111*BS51+SUM(BT105:BT107,BT109)*((1+BS51)^0.5-1))</f>
        <v>921.64120834118899</v>
      </c>
      <c r="BU108" s="84">
        <f ca="1">IF(LiabilityCF!BU22=0,0,BT111*BT51+SUM(BU105:BU107,BU109)*((1+BT51)^0.5-1))</f>
        <v>979.65915612971764</v>
      </c>
      <c r="BV108" s="84">
        <f ca="1">IF(LiabilityCF!BV22=0,0,BU111*BU51+SUM(BV105:BV107,BV109)*((1+BU51)^0.5-1))</f>
        <v>1042.0402481709552</v>
      </c>
      <c r="BW108" s="84">
        <f ca="1">IF(LiabilityCF!BW22=0,0,BV111*BV51+SUM(BW105:BW107,BW109)*((1+BV51)^0.5-1))</f>
        <v>1109.071000822905</v>
      </c>
      <c r="BX108" s="84">
        <f ca="1">IF(LiabilityCF!BX22=0,0,BW111*BW51+SUM(BX105:BX107,BX109)*((1+BW51)^0.5-1))</f>
        <v>1181.0522281719739</v>
      </c>
      <c r="BY108" s="84">
        <f ca="1">IF(LiabilityCF!BY22=0,0,BX111*BX51+SUM(BY105:BY107,BY109)*((1+BX51)^0.5-1))</f>
        <v>1258.3042182542026</v>
      </c>
      <c r="BZ108" s="84">
        <f ca="1">IF(LiabilityCF!BZ22=0,0,BY111*BY51+SUM(BZ105:BZ107,BZ109)*((1+BY51)^0.5-1))</f>
        <v>1341.1688057375068</v>
      </c>
      <c r="CA108" s="84">
        <f ca="1">IF(LiabilityCF!CA22=0,0,BZ111*BZ51+SUM(CA105:CA107,CA109)*((1+BZ51)^0.5-1))</f>
        <v>1430.0124534565748</v>
      </c>
      <c r="CB108" s="84">
        <f ca="1">IF(LiabilityCF!CB22=0,0,CA111*CA51+SUM(CB105:CB107,CB109)*((1+CA51)^0.5-1))</f>
        <v>1525.2391746900578</v>
      </c>
      <c r="CC108" s="84">
        <f ca="1">IF(LiabilityCF!CC22=0,0,CB111*CB51+SUM(CC105:CC107,CC109)*((1+CB51)^0.5-1))</f>
        <v>1627.2924141317362</v>
      </c>
      <c r="CD108" s="84">
        <f ca="1">IF(LiabilityCF!CD22=0,0,CC111*CC51+SUM(CD105:CD107,CD109)*((1+CC51)^0.5-1))</f>
        <v>1736.6576991361444</v>
      </c>
      <c r="CE108" s="84">
        <f ca="1">IF(LiabilityCF!CE22=0,0,CD111*CD51+SUM(CE105:CE107,CE109)*((1+CD51)^0.5-1))</f>
        <v>1853.8674524367764</v>
      </c>
      <c r="CF108" s="84">
        <f ca="1">IF(LiabilityCF!CF22=0,0,CE111*CE51+SUM(CF105:CF107,CF109)*((1+CE51)^0.5-1))</f>
        <v>1979.4935560629594</v>
      </c>
      <c r="CG108" s="84">
        <f ca="1">IF(LiabilityCF!CG22=0,0,CF111*CF51+SUM(CG105:CG107,CG109)*((1+CF51)^0.5-1))</f>
        <v>2114.1533337603551</v>
      </c>
      <c r="CH108" s="84">
        <f ca="1">IF(LiabilityCF!CH22=0,0,CG111*CG51+SUM(CH105:CH107,CH109)*((1+CG51)^0.5-1))</f>
        <v>2258.5136433428843</v>
      </c>
      <c r="CI108" s="84">
        <f ca="1">IF(LiabilityCF!CI22=0,0,CH111*CH51+SUM(CI105:CI107,CI109)*((1+CH51)^0.5-1))</f>
        <v>2413.2779030761385</v>
      </c>
      <c r="CJ108" s="84">
        <f ca="1">IF(LiabilityCF!CJ22=0,0,CI111*CI51+SUM(CJ105:CJ107,CJ109)*((1+CI51)^0.5-1))</f>
        <v>2579.1923549422204</v>
      </c>
      <c r="CK108" s="84">
        <f ca="1">IF(LiabilityCF!CK22=0,0,CJ111*CJ51+SUM(CK105:CK107,CK109)*((1+CJ51)^0.5-1))</f>
        <v>2757.0519875697869</v>
      </c>
      <c r="CL108" s="84">
        <f ca="1">IF(LiabilityCF!CL22=0,0,CK111*CK51+SUM(CL105:CL107,CL109)*((1+CK51)^0.5-1))</f>
        <v>2947.7081885156081</v>
      </c>
      <c r="CM108" s="84">
        <f ca="1">IF(LiabilityCF!CM22=0,0,CL111*CL51+SUM(CM105:CM107,CM109)*((1+CL51)^0.5-1))</f>
        <v>3152.0944943423397</v>
      </c>
      <c r="CN108" s="84">
        <f ca="1">IF(LiabilityCF!CN22=0,0,CM111*CM51+SUM(CN105:CN107,CN109)*((1+CM51)^0.5-1))</f>
        <v>3371.2158921498235</v>
      </c>
      <c r="CO108" s="84">
        <f ca="1">IF(LiabilityCF!CO22=0,0,CN111*CN51+SUM(CO105:CO107,CO109)*((1+CN51)^0.5-1))</f>
        <v>3606.1720134734092</v>
      </c>
      <c r="CP108" s="84">
        <f ca="1">IF(LiabilityCF!CP22=0,0,CO111*CO51+SUM(CP105:CP107,CP109)*((1+CO51)^0.5-1))</f>
        <v>3858.1521963134387</v>
      </c>
      <c r="CQ108" s="84">
        <f ca="1">IF(LiabilityCF!CQ22=0,0,CP111*CP51+SUM(CQ105:CQ107,CQ109)*((1+CP51)^0.5-1))</f>
        <v>4128.4472193197244</v>
      </c>
      <c r="CR108" s="84">
        <f ca="1">IF(LiabilityCF!CR22=0,0,CQ111*CQ51+SUM(CR105:CR107,CR109)*((1+CQ51)^0.5-1))</f>
        <v>4418.4714909739569</v>
      </c>
      <c r="CS108" s="84">
        <f ca="1">IF(LiabilityCF!CS22=0,0,CR111*CR51+SUM(CS105:CS107,CS109)*((1+CR51)^0.5-1))</f>
        <v>4729.7135741805841</v>
      </c>
      <c r="CT108" s="84">
        <f ca="1">IF(LiabilityCF!CT22=0,0,CS111*CS51+SUM(CT105:CT107,CT109)*((1+CS51)^0.5-1))</f>
        <v>5063.7363549105821</v>
      </c>
      <c r="CU108" s="84">
        <f ca="1">IF(LiabilityCF!CU22=0,0,CT111*CT51+SUM(CU105:CU107,CU109)*((1+CT51)^0.5-1))</f>
        <v>5422.1999573151743</v>
      </c>
      <c r="CV108" s="84">
        <f ca="1">IF(LiabilityCF!CV22=0,0,CU111*CU51+SUM(CV105:CV107,CV109)*((1+CU51)^0.5-1))</f>
        <v>5806.8186247408521</v>
      </c>
      <c r="CW108" s="84">
        <f ca="1">IF(LiabilityCF!CW22=0,0,CV111*CV51+SUM(CW105:CW107,CW109)*((1+CV51)^0.5-1))</f>
        <v>6219.3913463881154</v>
      </c>
      <c r="CX108" s="84">
        <f ca="1">IF(LiabilityCF!CX22=0,0,CW111*CW51+SUM(CX105:CX107,CX109)*((1+CW51)^0.5-1))</f>
        <v>6661.8106180336345</v>
      </c>
      <c r="CY108" s="84">
        <f ca="1">IF(LiabilityCF!CY22=0,0,CX111*CX51+SUM(CY105:CY107,CY109)*((1+CX51)^0.5-1))</f>
        <v>7135.9892281056527</v>
      </c>
      <c r="CZ108" s="84">
        <f ca="1">IF(LiabilityCF!CZ22=0,0,CY111*CY51+SUM(CZ105:CZ107,CZ109)*((1+CY51)^0.5-1))</f>
        <v>7643.9678404509814</v>
      </c>
      <c r="DA108" s="84">
        <f ca="1">IF(LiabilityCF!DA22=0,0,CZ111*CZ51+SUM(DA105:DA107,DA109)*((1+CZ51)^0.5-1))</f>
        <v>0</v>
      </c>
      <c r="DB108" s="84">
        <f ca="1">IF(LiabilityCF!DB22=0,0,DA111*DA51+SUM(DB105:DB107,DB109)*((1+DA51)^0.5-1))</f>
        <v>0</v>
      </c>
      <c r="DC108" s="84">
        <f ca="1">IF(LiabilityCF!DC22=0,0,DB111*DB51+SUM(DC105:DC107,DC109)*((1+DB51)^0.5-1))</f>
        <v>0</v>
      </c>
      <c r="DD108" s="84">
        <f ca="1">IF(LiabilityCF!DD22=0,0,DC111*DC51+SUM(DD105:DD107,DD109)*((1+DC51)^0.5-1))</f>
        <v>0</v>
      </c>
      <c r="DE108" s="84">
        <f ca="1">IF(LiabilityCF!DE22=0,0,DD111*DD51+SUM(DE105:DE107,DE109)*((1+DD51)^0.5-1))</f>
        <v>0</v>
      </c>
      <c r="DF108" s="84">
        <f ca="1">IF(LiabilityCF!DF22=0,0,DE111*DE51+SUM(DF105:DF107,DF109)*((1+DE51)^0.5-1))</f>
        <v>0</v>
      </c>
      <c r="DG108" s="84">
        <f ca="1">IF(LiabilityCF!DG22=0,0,DF111*DF51+SUM(DG105:DG107,DG109)*((1+DF51)^0.5-1))</f>
        <v>0</v>
      </c>
      <c r="DH108" s="84">
        <f ca="1">IF(LiabilityCF!DH22=0,0,DG111*DG51+SUM(DH105:DH107,DH109)*((1+DG51)^0.5-1))</f>
        <v>0</v>
      </c>
      <c r="DI108" s="84">
        <f ca="1">IF(LiabilityCF!DI22=0,0,DH111*DH51+SUM(DI105:DI107,DI109)*((1+DH51)^0.5-1))</f>
        <v>0</v>
      </c>
      <c r="DJ108" s="84">
        <f ca="1">IF(LiabilityCF!DJ22=0,0,DI111*DI51+SUM(DJ105:DJ107,DJ109)*((1+DI51)^0.5-1))</f>
        <v>0</v>
      </c>
      <c r="DK108" s="84">
        <f ca="1">IF(LiabilityCF!DK22=0,0,DJ111*DJ51+SUM(DK105:DK107,DK109)*((1+DJ51)^0.5-1))</f>
        <v>0</v>
      </c>
      <c r="DL108" s="84">
        <f ca="1">IF(LiabilityCF!DL22=0,0,DK111*DK51+SUM(DL105:DL107,DL109)*((1+DK51)^0.5-1))</f>
        <v>0</v>
      </c>
      <c r="DM108" s="84">
        <f ca="1">IF(LiabilityCF!DM22=0,0,DL111*DL51+SUM(DM105:DM107,DM109)*((1+DL51)^0.5-1))</f>
        <v>0</v>
      </c>
      <c r="DN108" s="84">
        <f ca="1">IF(LiabilityCF!DN22=0,0,DM111*DM51+SUM(DN105:DN107,DN109)*((1+DM51)^0.5-1))</f>
        <v>0</v>
      </c>
      <c r="DO108" s="84">
        <f ca="1">IF(LiabilityCF!DO22=0,0,DN111*DN51+SUM(DO105:DO107,DO109)*((1+DN51)^0.5-1))</f>
        <v>0</v>
      </c>
      <c r="DP108" s="84">
        <f ca="1">IF(LiabilityCF!DP22=0,0,DO111*DO51+SUM(DP105:DP107,DP109)*((1+DO51)^0.5-1))</f>
        <v>0</v>
      </c>
      <c r="DQ108" s="84">
        <f ca="1">IF(LiabilityCF!DQ22=0,0,DP111*DP51+SUM(DQ105:DQ107,DQ109)*((1+DP51)^0.5-1))</f>
        <v>0</v>
      </c>
      <c r="DR108" s="84">
        <f ca="1">IF(LiabilityCF!DR22=0,0,DQ111*DQ51+SUM(DR105:DR107,DR109)*((1+DQ51)^0.5-1))</f>
        <v>0</v>
      </c>
      <c r="DS108" s="84">
        <f ca="1">IF(LiabilityCF!DS22=0,0,DR111*DR51+SUM(DS105:DS107,DS109)*((1+DR51)^0.5-1))</f>
        <v>0</v>
      </c>
      <c r="DT108" s="84">
        <f ca="1">IF(LiabilityCF!DT22=0,0,DS111*DS51+SUM(DT105:DT107,DT109)*((1+DS51)^0.5-1))</f>
        <v>0</v>
      </c>
      <c r="DU108" s="84">
        <f ca="1">IF(LiabilityCF!DU22=0,0,DT111*DT51+SUM(DU105:DU107,DU109)*((1+DT51)^0.5-1))</f>
        <v>0</v>
      </c>
      <c r="DV108" s="84">
        <f ca="1">IF(LiabilityCF!DV22=0,0,DU111*DU51+SUM(DV105:DV107,DV109)*((1+DU51)^0.5-1))</f>
        <v>0</v>
      </c>
      <c r="DW108" s="84">
        <f ca="1">IF(LiabilityCF!DW22=0,0,DV111*DV51+SUM(DW105:DW107,DW109)*((1+DV51)^0.5-1))</f>
        <v>0</v>
      </c>
      <c r="DX108" s="84">
        <f ca="1">IF(LiabilityCF!DX22=0,0,DW111*DW51+SUM(DX105:DX107,DX109)*((1+DW51)^0.5-1))</f>
        <v>0</v>
      </c>
      <c r="DY108" s="84">
        <f ca="1">IF(LiabilityCF!DY22=0,0,DX111*DX51+SUM(DY105:DY107,DY109)*((1+DX51)^0.5-1))</f>
        <v>0</v>
      </c>
      <c r="DZ108" s="84">
        <f ca="1">IF(LiabilityCF!DZ22=0,0,DY111*DY51+SUM(DZ105:DZ107,DZ109)*((1+DY51)^0.5-1))</f>
        <v>0</v>
      </c>
      <c r="EA108" s="84">
        <f ca="1">IF(LiabilityCF!EA22=0,0,DZ111*DZ51+SUM(EA105:EA107,EA109)*((1+DZ51)^0.5-1))</f>
        <v>0</v>
      </c>
      <c r="EB108" s="84">
        <f ca="1">IF(LiabilityCF!EB22=0,0,EA111*EA51+SUM(EB105:EB107,EB109)*((1+EA51)^0.5-1))</f>
        <v>0</v>
      </c>
      <c r="EC108" s="84">
        <f ca="1">IF(LiabilityCF!EC22=0,0,EB111*EB51+SUM(EC105:EC107,EC109)*((1+EB51)^0.5-1))</f>
        <v>0</v>
      </c>
      <c r="ED108" s="84">
        <f ca="1">IF(LiabilityCF!ED22=0,0,EC111*EC51+SUM(ED105:ED107,ED109)*((1+EC51)^0.5-1))</f>
        <v>0</v>
      </c>
      <c r="EE108" s="84">
        <f ca="1">IF(LiabilityCF!EE22=0,0,ED111*ED51+SUM(EE105:EE107,EE109)*((1+ED51)^0.5-1))</f>
        <v>0</v>
      </c>
      <c r="EF108" s="84">
        <f ca="1">IF(LiabilityCF!EF22=0,0,EE111*EE51+SUM(EF105:EF107,EF109)*((1+EE51)^0.5-1))</f>
        <v>0</v>
      </c>
      <c r="EG108" s="84">
        <f ca="1">IF(LiabilityCF!EG22=0,0,EF111*EF51+SUM(EG105:EG107,EG109)*((1+EF51)^0.5-1))</f>
        <v>0</v>
      </c>
      <c r="EH108" s="84">
        <f ca="1">IF(LiabilityCF!EH22=0,0,EG111*EG51+SUM(EH105:EH107,EH109)*((1+EG51)^0.5-1))</f>
        <v>0</v>
      </c>
      <c r="EI108" s="84">
        <f ca="1">IF(LiabilityCF!EI22=0,0,EH111*EH51+SUM(EI105:EI107,EI109)*((1+EH51)^0.5-1))</f>
        <v>0</v>
      </c>
      <c r="EJ108" s="84">
        <f ca="1">IF(LiabilityCF!EJ22=0,0,EI111*EI51+SUM(EJ105:EJ107,EJ109)*((1+EI51)^0.5-1))</f>
        <v>0</v>
      </c>
      <c r="EK108" s="84">
        <f ca="1">IF(LiabilityCF!EK22=0,0,EJ111*EJ51+SUM(EK105:EK107,EK109)*((1+EJ51)^0.5-1))</f>
        <v>0</v>
      </c>
      <c r="EL108" s="84">
        <f ca="1">IF(LiabilityCF!EL22=0,0,EK111*EK51+SUM(EL105:EL107,EL109)*((1+EK51)^0.5-1))</f>
        <v>0</v>
      </c>
    </row>
    <row r="109" spans="2:142" s="2" customFormat="1">
      <c r="B109" s="51" t="s">
        <v>60</v>
      </c>
      <c r="C109" s="83"/>
      <c r="D109" s="83">
        <f ca="1">LiabilityCF!D21*OtherAssump!$C$8</f>
        <v>-4.2849300000000001</v>
      </c>
      <c r="E109" s="83">
        <f ca="1">LiabilityCF!E21*OtherAssump!$C$8</f>
        <v>-7.3197967371043067</v>
      </c>
      <c r="F109" s="83">
        <f ca="1">LiabilityCF!F21*OtherAssump!$C$8</f>
        <v>-10.37125925253379</v>
      </c>
      <c r="G109" s="83">
        <f ca="1">LiabilityCF!G21*OtherAssump!$C$8</f>
        <v>-13.556189105214585</v>
      </c>
      <c r="H109" s="83">
        <f ca="1">LiabilityCF!H21*OtherAssump!$C$8</f>
        <v>-9.2392414580650133</v>
      </c>
      <c r="I109" s="83">
        <f ca="1">LiabilityCF!I21*OtherAssump!$C$8</f>
        <v>-7.0743541475436711</v>
      </c>
      <c r="J109" s="83">
        <f ca="1">LiabilityCF!J21*OtherAssump!$C$8</f>
        <v>-5.005717512879837</v>
      </c>
      <c r="K109" s="83">
        <f ca="1">LiabilityCF!K21*OtherAssump!$C$8</f>
        <v>-2.6230976799801393</v>
      </c>
      <c r="L109" s="83">
        <f ca="1">LiabilityCF!L21*OtherAssump!$C$8</f>
        <v>-4.0364751828813292E-5</v>
      </c>
      <c r="M109" s="83">
        <f ca="1">LiabilityCF!M21*OtherAssump!$C$8</f>
        <v>0</v>
      </c>
      <c r="N109" s="83">
        <f ca="1">LiabilityCF!N21*OtherAssump!$C$8</f>
        <v>0</v>
      </c>
      <c r="O109" s="83">
        <f ca="1">LiabilityCF!O21*OtherAssump!$C$8</f>
        <v>0</v>
      </c>
      <c r="P109" s="83">
        <f ca="1">LiabilityCF!P21*OtherAssump!$C$8</f>
        <v>0</v>
      </c>
      <c r="Q109" s="83">
        <f ca="1">LiabilityCF!Q21*OtherAssump!$C$8</f>
        <v>0</v>
      </c>
      <c r="R109" s="83">
        <f ca="1">LiabilityCF!R21*OtherAssump!$C$8</f>
        <v>0</v>
      </c>
      <c r="S109" s="83">
        <f ca="1">LiabilityCF!S21*OtherAssump!$C$8</f>
        <v>0</v>
      </c>
      <c r="T109" s="83">
        <f ca="1">LiabilityCF!T21*OtherAssump!$C$8</f>
        <v>0</v>
      </c>
      <c r="U109" s="83">
        <f ca="1">LiabilityCF!U21*OtherAssump!$C$8</f>
        <v>0</v>
      </c>
      <c r="V109" s="83">
        <f ca="1">LiabilityCF!V21*OtherAssump!$C$8</f>
        <v>0</v>
      </c>
      <c r="W109" s="83">
        <f ca="1">LiabilityCF!W21*OtherAssump!$C$8</f>
        <v>0</v>
      </c>
      <c r="X109" s="83">
        <f ca="1">LiabilityCF!X21*OtherAssump!$C$8</f>
        <v>0</v>
      </c>
      <c r="Y109" s="83">
        <f ca="1">LiabilityCF!Y21*OtherAssump!$C$8</f>
        <v>0</v>
      </c>
      <c r="Z109" s="83">
        <f ca="1">LiabilityCF!Z21*OtherAssump!$C$8</f>
        <v>0</v>
      </c>
      <c r="AA109" s="83">
        <f ca="1">LiabilityCF!AA21*OtherAssump!$C$8</f>
        <v>0</v>
      </c>
      <c r="AB109" s="83">
        <f ca="1">LiabilityCF!AB21*OtherAssump!$C$8</f>
        <v>0</v>
      </c>
      <c r="AC109" s="83">
        <f ca="1">LiabilityCF!AC21*OtherAssump!$C$8</f>
        <v>0</v>
      </c>
      <c r="AD109" s="83">
        <f ca="1">LiabilityCF!AD21*OtherAssump!$C$8</f>
        <v>0</v>
      </c>
      <c r="AE109" s="83">
        <f ca="1">LiabilityCF!AE21*OtherAssump!$C$8</f>
        <v>0</v>
      </c>
      <c r="AF109" s="83">
        <f ca="1">LiabilityCF!AF21*OtherAssump!$C$8</f>
        <v>0</v>
      </c>
      <c r="AG109" s="83">
        <f ca="1">LiabilityCF!AG21*OtherAssump!$C$8</f>
        <v>0</v>
      </c>
      <c r="AH109" s="83">
        <f ca="1">LiabilityCF!AH21*OtherAssump!$C$8</f>
        <v>0</v>
      </c>
      <c r="AI109" s="83">
        <f ca="1">LiabilityCF!AI21*OtherAssump!$C$8</f>
        <v>0</v>
      </c>
      <c r="AJ109" s="83">
        <f ca="1">LiabilityCF!AJ21*OtherAssump!$C$8</f>
        <v>0</v>
      </c>
      <c r="AK109" s="83">
        <f ca="1">LiabilityCF!AK21*OtherAssump!$C$8</f>
        <v>0</v>
      </c>
      <c r="AL109" s="83">
        <f ca="1">LiabilityCF!AL21*OtherAssump!$C$8</f>
        <v>0</v>
      </c>
      <c r="AM109" s="83">
        <f ca="1">LiabilityCF!AM21*OtherAssump!$C$8</f>
        <v>0</v>
      </c>
      <c r="AN109" s="83">
        <f ca="1">LiabilityCF!AN21*OtherAssump!$C$8</f>
        <v>0</v>
      </c>
      <c r="AO109" s="83">
        <f ca="1">LiabilityCF!AO21*OtherAssump!$C$8</f>
        <v>0</v>
      </c>
      <c r="AP109" s="83">
        <f ca="1">LiabilityCF!AP21*OtherAssump!$C$8</f>
        <v>0</v>
      </c>
      <c r="AQ109" s="83">
        <f ca="1">LiabilityCF!AQ21*OtherAssump!$C$8</f>
        <v>0</v>
      </c>
      <c r="AR109" s="83">
        <f ca="1">LiabilityCF!AR21*OtherAssump!$C$8</f>
        <v>0</v>
      </c>
      <c r="AS109" s="83">
        <f ca="1">LiabilityCF!AS21*OtherAssump!$C$8</f>
        <v>0</v>
      </c>
      <c r="AT109" s="83">
        <f ca="1">LiabilityCF!AT21*OtherAssump!$C$8</f>
        <v>0</v>
      </c>
      <c r="AU109" s="83">
        <f ca="1">LiabilityCF!AU21*OtherAssump!$C$8</f>
        <v>0</v>
      </c>
      <c r="AV109" s="83">
        <f ca="1">LiabilityCF!AV21*OtherAssump!$C$8</f>
        <v>0</v>
      </c>
      <c r="AW109" s="83">
        <f ca="1">LiabilityCF!AW21*OtherAssump!$C$8</f>
        <v>0</v>
      </c>
      <c r="AX109" s="83">
        <f ca="1">LiabilityCF!AX21*OtherAssump!$C$8</f>
        <v>0</v>
      </c>
      <c r="AY109" s="83">
        <f ca="1">LiabilityCF!AY21*OtherAssump!$C$8</f>
        <v>0</v>
      </c>
      <c r="AZ109" s="83">
        <f ca="1">LiabilityCF!AZ21*OtherAssump!$C$8</f>
        <v>0</v>
      </c>
      <c r="BA109" s="83">
        <f ca="1">LiabilityCF!BA21*OtherAssump!$C$8</f>
        <v>0</v>
      </c>
      <c r="BB109" s="83">
        <f ca="1">LiabilityCF!BB21*OtherAssump!$C$8</f>
        <v>0</v>
      </c>
      <c r="BC109" s="83">
        <f ca="1">LiabilityCF!BC21*OtherAssump!$C$8</f>
        <v>0</v>
      </c>
      <c r="BD109" s="83">
        <f ca="1">LiabilityCF!BD21*OtherAssump!$C$8</f>
        <v>0</v>
      </c>
      <c r="BE109" s="83">
        <f ca="1">LiabilityCF!BE21*OtherAssump!$C$8</f>
        <v>0</v>
      </c>
      <c r="BF109" s="83">
        <f ca="1">LiabilityCF!BF21*OtherAssump!$C$8</f>
        <v>0</v>
      </c>
      <c r="BG109" s="83">
        <f ca="1">LiabilityCF!BG21*OtherAssump!$C$8</f>
        <v>0</v>
      </c>
      <c r="BH109" s="83">
        <f ca="1">LiabilityCF!BH21*OtherAssump!$C$8</f>
        <v>0</v>
      </c>
      <c r="BI109" s="83">
        <f ca="1">LiabilityCF!BI21*OtherAssump!$C$8</f>
        <v>0</v>
      </c>
      <c r="BJ109" s="83">
        <f ca="1">LiabilityCF!BJ21*OtherAssump!$C$8</f>
        <v>0</v>
      </c>
      <c r="BK109" s="83">
        <f ca="1">LiabilityCF!BK21*OtherAssump!$C$8</f>
        <v>0</v>
      </c>
      <c r="BL109" s="83">
        <f ca="1">LiabilityCF!BL21*OtherAssump!$C$8</f>
        <v>0</v>
      </c>
      <c r="BM109" s="83">
        <f ca="1">LiabilityCF!BM21*OtherAssump!$C$8</f>
        <v>0</v>
      </c>
      <c r="BN109" s="83">
        <f ca="1">LiabilityCF!BN21*OtherAssump!$C$8</f>
        <v>0</v>
      </c>
      <c r="BO109" s="83">
        <f ca="1">LiabilityCF!BO21*OtherAssump!$C$8</f>
        <v>0</v>
      </c>
      <c r="BP109" s="83">
        <f ca="1">LiabilityCF!BP21*OtherAssump!$C$8</f>
        <v>0</v>
      </c>
      <c r="BQ109" s="83">
        <f ca="1">LiabilityCF!BQ21*OtherAssump!$C$8</f>
        <v>0</v>
      </c>
      <c r="BR109" s="83">
        <f ca="1">LiabilityCF!BR21*OtherAssump!$C$8</f>
        <v>0</v>
      </c>
      <c r="BS109" s="83">
        <f ca="1">LiabilityCF!BS21*OtherAssump!$C$8</f>
        <v>0</v>
      </c>
      <c r="BT109" s="83">
        <f ca="1">LiabilityCF!BT21*OtherAssump!$C$8</f>
        <v>0</v>
      </c>
      <c r="BU109" s="83">
        <f ca="1">LiabilityCF!BU21*OtherAssump!$C$8</f>
        <v>0</v>
      </c>
      <c r="BV109" s="83">
        <f ca="1">LiabilityCF!BV21*OtherAssump!$C$8</f>
        <v>0</v>
      </c>
      <c r="BW109" s="83">
        <f ca="1">LiabilityCF!BW21*OtherAssump!$C$8</f>
        <v>0</v>
      </c>
      <c r="BX109" s="83">
        <f ca="1">LiabilityCF!BX21*OtherAssump!$C$8</f>
        <v>0</v>
      </c>
      <c r="BY109" s="83">
        <f ca="1">LiabilityCF!BY21*OtherAssump!$C$8</f>
        <v>0</v>
      </c>
      <c r="BZ109" s="83">
        <f ca="1">LiabilityCF!BZ21*OtherAssump!$C$8</f>
        <v>0</v>
      </c>
      <c r="CA109" s="83">
        <f ca="1">LiabilityCF!CA21*OtherAssump!$C$8</f>
        <v>0</v>
      </c>
      <c r="CB109" s="83">
        <f ca="1">LiabilityCF!CB21*OtherAssump!$C$8</f>
        <v>0</v>
      </c>
      <c r="CC109" s="83">
        <f ca="1">LiabilityCF!CC21*OtherAssump!$C$8</f>
        <v>0</v>
      </c>
      <c r="CD109" s="83">
        <f ca="1">LiabilityCF!CD21*OtherAssump!$C$8</f>
        <v>0</v>
      </c>
      <c r="CE109" s="83">
        <f ca="1">LiabilityCF!CE21*OtherAssump!$C$8</f>
        <v>0</v>
      </c>
      <c r="CF109" s="83">
        <f ca="1">LiabilityCF!CF21*OtherAssump!$C$8</f>
        <v>0</v>
      </c>
      <c r="CG109" s="83">
        <f ca="1">LiabilityCF!CG21*OtherAssump!$C$8</f>
        <v>0</v>
      </c>
      <c r="CH109" s="83">
        <f ca="1">LiabilityCF!CH21*OtherAssump!$C$8</f>
        <v>0</v>
      </c>
      <c r="CI109" s="83">
        <f ca="1">LiabilityCF!CI21*OtherAssump!$C$8</f>
        <v>0</v>
      </c>
      <c r="CJ109" s="83">
        <f ca="1">LiabilityCF!CJ21*OtherAssump!$C$8</f>
        <v>0</v>
      </c>
      <c r="CK109" s="83">
        <f ca="1">LiabilityCF!CK21*OtherAssump!$C$8</f>
        <v>0</v>
      </c>
      <c r="CL109" s="83">
        <f ca="1">LiabilityCF!CL21*OtherAssump!$C$8</f>
        <v>0</v>
      </c>
      <c r="CM109" s="83">
        <f ca="1">LiabilityCF!CM21*OtherAssump!$C$8</f>
        <v>0</v>
      </c>
      <c r="CN109" s="83">
        <f ca="1">LiabilityCF!CN21*OtherAssump!$C$8</f>
        <v>0</v>
      </c>
      <c r="CO109" s="83">
        <f ca="1">LiabilityCF!CO21*OtherAssump!$C$8</f>
        <v>0</v>
      </c>
      <c r="CP109" s="83">
        <f ca="1">LiabilityCF!CP21*OtherAssump!$C$8</f>
        <v>0</v>
      </c>
      <c r="CQ109" s="83">
        <f ca="1">LiabilityCF!CQ21*OtherAssump!$C$8</f>
        <v>0</v>
      </c>
      <c r="CR109" s="83">
        <f ca="1">LiabilityCF!CR21*OtherAssump!$C$8</f>
        <v>0</v>
      </c>
      <c r="CS109" s="83">
        <f ca="1">LiabilityCF!CS21*OtherAssump!$C$8</f>
        <v>0</v>
      </c>
      <c r="CT109" s="83">
        <f ca="1">LiabilityCF!CT21*OtherAssump!$C$8</f>
        <v>0</v>
      </c>
      <c r="CU109" s="83">
        <f ca="1">LiabilityCF!CU21*OtherAssump!$C$8</f>
        <v>0</v>
      </c>
      <c r="CV109" s="83">
        <f ca="1">LiabilityCF!CV21*OtherAssump!$C$8</f>
        <v>0</v>
      </c>
      <c r="CW109" s="83">
        <f ca="1">LiabilityCF!CW21*OtherAssump!$C$8</f>
        <v>0</v>
      </c>
      <c r="CX109" s="83">
        <f ca="1">LiabilityCF!CX21*OtherAssump!$C$8</f>
        <v>0</v>
      </c>
      <c r="CY109" s="83">
        <f ca="1">LiabilityCF!CY21*OtherAssump!$C$8</f>
        <v>0</v>
      </c>
      <c r="CZ109" s="83">
        <f ca="1">LiabilityCF!CZ21*OtherAssump!$C$8</f>
        <v>0</v>
      </c>
      <c r="DA109" s="83">
        <f ca="1">LiabilityCF!DA21*OtherAssump!$C$8</f>
        <v>0</v>
      </c>
      <c r="DB109" s="83">
        <f ca="1">LiabilityCF!DB21*OtherAssump!$C$8</f>
        <v>0</v>
      </c>
      <c r="DC109" s="83">
        <f ca="1">LiabilityCF!DC21*OtherAssump!$C$8</f>
        <v>0</v>
      </c>
      <c r="DD109" s="83">
        <f ca="1">LiabilityCF!DD21*OtherAssump!$C$8</f>
        <v>0</v>
      </c>
      <c r="DE109" s="83">
        <f ca="1">LiabilityCF!DE21*OtherAssump!$C$8</f>
        <v>0</v>
      </c>
      <c r="DF109" s="83">
        <f ca="1">LiabilityCF!DF21*OtherAssump!$C$8</f>
        <v>0</v>
      </c>
      <c r="DG109" s="83">
        <f ca="1">LiabilityCF!DG21*OtherAssump!$C$8</f>
        <v>0</v>
      </c>
      <c r="DH109" s="83">
        <f ca="1">LiabilityCF!DH21*OtherAssump!$C$8</f>
        <v>0</v>
      </c>
      <c r="DI109" s="83">
        <f ca="1">LiabilityCF!DI21*OtherAssump!$C$8</f>
        <v>0</v>
      </c>
      <c r="DJ109" s="83">
        <f ca="1">LiabilityCF!DJ21*OtherAssump!$C$8</f>
        <v>0</v>
      </c>
      <c r="DK109" s="83">
        <f ca="1">LiabilityCF!DK21*OtherAssump!$C$8</f>
        <v>0</v>
      </c>
      <c r="DL109" s="83">
        <f ca="1">LiabilityCF!DL21*OtherAssump!$C$8</f>
        <v>0</v>
      </c>
      <c r="DM109" s="83">
        <f ca="1">LiabilityCF!DM21*OtherAssump!$C$8</f>
        <v>0</v>
      </c>
      <c r="DN109" s="83">
        <f ca="1">LiabilityCF!DN21*OtherAssump!$C$8</f>
        <v>0</v>
      </c>
      <c r="DO109" s="83">
        <f ca="1">LiabilityCF!DO21*OtherAssump!$C$8</f>
        <v>0</v>
      </c>
      <c r="DP109" s="83">
        <f ca="1">LiabilityCF!DP21*OtherAssump!$C$8</f>
        <v>0</v>
      </c>
      <c r="DQ109" s="83">
        <f ca="1">LiabilityCF!DQ21*OtherAssump!$C$8</f>
        <v>0</v>
      </c>
      <c r="DR109" s="83">
        <f ca="1">LiabilityCF!DR21*OtherAssump!$C$8</f>
        <v>0</v>
      </c>
      <c r="DS109" s="83">
        <f ca="1">LiabilityCF!DS21*OtherAssump!$C$8</f>
        <v>0</v>
      </c>
      <c r="DT109" s="83">
        <f ca="1">LiabilityCF!DT21*OtherAssump!$C$8</f>
        <v>0</v>
      </c>
      <c r="DU109" s="83">
        <f ca="1">LiabilityCF!DU21*OtherAssump!$C$8</f>
        <v>0</v>
      </c>
      <c r="DV109" s="83">
        <f ca="1">LiabilityCF!DV21*OtherAssump!$C$8</f>
        <v>0</v>
      </c>
      <c r="DW109" s="83">
        <f ca="1">LiabilityCF!DW21*OtherAssump!$C$8</f>
        <v>0</v>
      </c>
      <c r="DX109" s="83">
        <f ca="1">LiabilityCF!DX21*OtherAssump!$C$8</f>
        <v>0</v>
      </c>
      <c r="DY109" s="83">
        <f ca="1">LiabilityCF!DY21*OtherAssump!$C$8</f>
        <v>0</v>
      </c>
      <c r="DZ109" s="83">
        <f ca="1">LiabilityCF!DZ21*OtherAssump!$C$8</f>
        <v>0</v>
      </c>
      <c r="EA109" s="83">
        <f ca="1">LiabilityCF!EA21*OtherAssump!$C$8</f>
        <v>0</v>
      </c>
      <c r="EB109" s="83">
        <f ca="1">LiabilityCF!EB21*OtherAssump!$C$8</f>
        <v>0</v>
      </c>
      <c r="EC109" s="83">
        <f ca="1">LiabilityCF!EC21*OtherAssump!$C$8</f>
        <v>0</v>
      </c>
      <c r="ED109" s="83">
        <f ca="1">LiabilityCF!ED21*OtherAssump!$C$8</f>
        <v>0</v>
      </c>
      <c r="EE109" s="83">
        <f ca="1">LiabilityCF!EE21*OtherAssump!$C$8</f>
        <v>0</v>
      </c>
      <c r="EF109" s="83">
        <f ca="1">LiabilityCF!EF21*OtherAssump!$C$8</f>
        <v>0</v>
      </c>
      <c r="EG109" s="83">
        <f ca="1">LiabilityCF!EG21*OtherAssump!$C$8</f>
        <v>0</v>
      </c>
      <c r="EH109" s="83">
        <f ca="1">LiabilityCF!EH21*OtherAssump!$C$8</f>
        <v>0</v>
      </c>
      <c r="EI109" s="83">
        <f ca="1">LiabilityCF!EI21*OtherAssump!$C$8</f>
        <v>0</v>
      </c>
      <c r="EJ109" s="83">
        <f ca="1">LiabilityCF!EJ21*OtherAssump!$C$8</f>
        <v>0</v>
      </c>
      <c r="EK109" s="83">
        <f ca="1">LiabilityCF!EK21*OtherAssump!$C$8</f>
        <v>0</v>
      </c>
      <c r="EL109" s="83">
        <f ca="1">LiabilityCF!EL21*OtherAssump!$C$8</f>
        <v>0</v>
      </c>
    </row>
    <row r="110" spans="2:142" s="2" customFormat="1">
      <c r="B110" s="51" t="s">
        <v>59</v>
      </c>
      <c r="C110" s="83"/>
      <c r="D110" s="82">
        <f ca="1">MIN(0,-C111*LiabilityCF!D22-SUM(D105:D107,D109)/2*LiabilityCF!D22)</f>
        <v>-3.3899193747568015E-3</v>
      </c>
      <c r="E110" s="82">
        <f ca="1">MIN(0,-D111*LiabilityCF!E22-SUM(E105:E107,E109)/2*LiabilityCF!E22)</f>
        <v>-2.3852395995540093E-2</v>
      </c>
      <c r="F110" s="82">
        <f ca="1">MIN(0,-E111*LiabilityCF!F22-SUM(F105:F107,F109)/2*LiabilityCF!F22)</f>
        <v>-6.5981045624516593E-2</v>
      </c>
      <c r="G110" s="82">
        <f ca="1">MIN(0,-F111*LiabilityCF!G22-SUM(G105:G107,G109)/2*LiabilityCF!G22)</f>
        <v>-0.13632830830154941</v>
      </c>
      <c r="H110" s="82">
        <f ca="1">MIN(0,-G111*LiabilityCF!H22-SUM(H105:H107,H109)/2*LiabilityCF!H22)</f>
        <v>-0.25052629306469271</v>
      </c>
      <c r="I110" s="82">
        <f ca="1">MIN(0,-H111*LiabilityCF!I22-SUM(I105:I107,I109)/2*LiabilityCF!I22)</f>
        <v>-0.37321630802731054</v>
      </c>
      <c r="J110" s="82">
        <f ca="1">MIN(0,-I111*LiabilityCF!J22-SUM(J105:J107,J109)/2*LiabilityCF!J22)</f>
        <v>-0.63642740520998953</v>
      </c>
      <c r="K110" s="82">
        <f ca="1">MIN(0,-J111*LiabilityCF!K22-SUM(K105:K107,K109)/2*LiabilityCF!K22)</f>
        <v>-7.1151586372594595</v>
      </c>
      <c r="L110" s="82">
        <f ca="1">MIN(0,-K111*LiabilityCF!L22-SUM(L105:L107,L109)/2*LiabilityCF!L22)</f>
        <v>0</v>
      </c>
      <c r="M110" s="82">
        <f ca="1">MIN(0,-L111*LiabilityCF!M22-SUM(M105:M107,M109)/2*LiabilityCF!M22)</f>
        <v>-1.3005185884248336</v>
      </c>
      <c r="N110" s="82">
        <f ca="1">MIN(0,-M111*LiabilityCF!N22-SUM(N105:N107,N109)/2*LiabilityCF!N22)</f>
        <v>-2.5963267310223763</v>
      </c>
      <c r="O110" s="82">
        <f ca="1">MIN(0,-N111*LiabilityCF!O22-SUM(O105:O107,O109)/2*LiabilityCF!O22)</f>
        <v>-4.2577040380698357</v>
      </c>
      <c r="P110" s="82">
        <f ca="1">MIN(0,-O111*LiabilityCF!P22-SUM(P105:P107,P109)/2*LiabilityCF!P22)</f>
        <v>-6.5199907824197334</v>
      </c>
      <c r="Q110" s="82">
        <f ca="1">MIN(0,-P111*LiabilityCF!Q22-SUM(Q105:Q107,Q109)/2*LiabilityCF!Q22)</f>
        <v>-4.7533005146727971</v>
      </c>
      <c r="R110" s="82">
        <f ca="1">MIN(0,-Q111*LiabilityCF!R22-SUM(R105:R107,R109)/2*LiabilityCF!R22)</f>
        <v>-3.4105673418611557</v>
      </c>
      <c r="S110" s="82">
        <f ca="1">MIN(0,-R111*LiabilityCF!S22-SUM(S105:S107,S109)/2*LiabilityCF!S22)</f>
        <v>-3.4122699822938962</v>
      </c>
      <c r="T110" s="82">
        <f ca="1">MIN(0,-S111*LiabilityCF!T22-SUM(T105:T107,T109)/2*LiabilityCF!T22)</f>
        <v>-3.5647360221268509</v>
      </c>
      <c r="U110" s="82">
        <f ca="1">MIN(0,-T111*LiabilityCF!U22-SUM(U105:U107,U109)/2*LiabilityCF!U22)</f>
        <v>-3.7265806061069484</v>
      </c>
      <c r="V110" s="82">
        <f ca="1">MIN(0,-U111*LiabilityCF!V22-SUM(V105:V107,V109)/2*LiabilityCF!V22)</f>
        <v>-3.8954994429535015</v>
      </c>
      <c r="W110" s="82">
        <f ca="1">MIN(0,-V111*LiabilityCF!W22-SUM(W105:W107,W109)/2*LiabilityCF!W22)</f>
        <v>-4.0724773753203483</v>
      </c>
      <c r="X110" s="82">
        <f ca="1">MIN(0,-W111*LiabilityCF!X22-SUM(X105:X107,X109)/2*LiabilityCF!X22)</f>
        <v>-4.5414440998995813</v>
      </c>
      <c r="Y110" s="82">
        <f ca="1">MIN(0,-X111*LiabilityCF!Y22-SUM(Y105:Y107,Y109)/2*LiabilityCF!Y22)</f>
        <v>-5.071929729113136</v>
      </c>
      <c r="Z110" s="82">
        <f ca="1">MIN(0,-Y111*LiabilityCF!Z22-SUM(Z105:Z107,Z109)/2*LiabilityCF!Z22)</f>
        <v>-5.6431909734182533</v>
      </c>
      <c r="AA110" s="82">
        <f ca="1">MIN(0,-Z111*LiabilityCF!AA22-SUM(AA105:AA107,AA109)/2*LiabilityCF!AA22)</f>
        <v>-6.2431136337321327</v>
      </c>
      <c r="AB110" s="82">
        <f ca="1">MIN(0,-AA111*LiabilityCF!AB22-SUM(AB105:AB107,AB109)/2*LiabilityCF!AB22)</f>
        <v>-6.414900702207107</v>
      </c>
      <c r="AC110" s="82">
        <f ca="1">MIN(0,-AB111*LiabilityCF!AC22-SUM(AC105:AC107,AC109)/2*LiabilityCF!AC22)</f>
        <v>-6.9321472483012796</v>
      </c>
      <c r="AD110" s="82">
        <f ca="1">MIN(0,-AC111*LiabilityCF!AD22-SUM(AD105:AD107,AD109)/2*LiabilityCF!AD22)</f>
        <v>-7.5739332062896265</v>
      </c>
      <c r="AE110" s="82">
        <f ca="1">MIN(0,-AD111*LiabilityCF!AE22-SUM(AE105:AE107,AE109)/2*LiabilityCF!AE22)</f>
        <v>-8.3459894188402632</v>
      </c>
      <c r="AF110" s="82">
        <f ca="1">MIN(0,-AE111*LiabilityCF!AF22-SUM(AF105:AF107,AF109)/2*LiabilityCF!AF22)</f>
        <v>-9.2444941849041982</v>
      </c>
      <c r="AG110" s="82">
        <f ca="1">MIN(0,-AF111*LiabilityCF!AG22-SUM(AG105:AG107,AG109)/2*LiabilityCF!AG22)</f>
        <v>-9.6170949695103722</v>
      </c>
      <c r="AH110" s="82">
        <f ca="1">MIN(0,-AG111*LiabilityCF!AH22-SUM(AH105:AH107,AH109)/2*LiabilityCF!AH22)</f>
        <v>-10.342795232830248</v>
      </c>
      <c r="AI110" s="82">
        <f ca="1">MIN(0,-AH111*LiabilityCF!AI22-SUM(AI105:AI107,AI109)/2*LiabilityCF!AI22)</f>
        <v>-11.182653624594527</v>
      </c>
      <c r="AJ110" s="82">
        <f ca="1">MIN(0,-AI111*LiabilityCF!AJ22-SUM(AJ105:AJ107,AJ109)/2*LiabilityCF!AJ22)</f>
        <v>-12.125039376938279</v>
      </c>
      <c r="AK110" s="82">
        <f ca="1">MIN(0,-AJ111*LiabilityCF!AK22-SUM(AK105:AK107,AK109)/2*LiabilityCF!AK22)</f>
        <v>-13.163551504926016</v>
      </c>
      <c r="AL110" s="82">
        <f ca="1">MIN(0,-AK111*LiabilityCF!AL22-SUM(AL105:AL107,AL109)/2*LiabilityCF!AL22)</f>
        <v>-13.781380613540748</v>
      </c>
      <c r="AM110" s="82">
        <f ca="1">MIN(0,-AL111*LiabilityCF!AM22-SUM(AM105:AM107,AM109)/2*LiabilityCF!AM22)</f>
        <v>-14.443647934198697</v>
      </c>
      <c r="AN110" s="82">
        <f ca="1">MIN(0,-AM111*LiabilityCF!AN22-SUM(AN105:AN107,AN109)/2*LiabilityCF!AN22)</f>
        <v>-15.153371317846187</v>
      </c>
      <c r="AO110" s="82">
        <f ca="1">MIN(0,-AN111*LiabilityCF!AO22-SUM(AO105:AO107,AO109)/2*LiabilityCF!AO22)</f>
        <v>-15.910042938584125</v>
      </c>
      <c r="AP110" s="82">
        <f ca="1">MIN(0,-AO111*LiabilityCF!AP22-SUM(AP105:AP107,AP109)/2*LiabilityCF!AP22)</f>
        <v>-16.710962843308931</v>
      </c>
      <c r="AQ110" s="82">
        <f ca="1">MIN(0,-AP111*LiabilityCF!AQ22-SUM(AQ105:AQ107,AQ109)/2*LiabilityCF!AQ22)</f>
        <v>-17.555271749306513</v>
      </c>
      <c r="AR110" s="82">
        <f ca="1">MIN(0,-AQ111*LiabilityCF!AR22-SUM(AR105:AR107,AR109)/2*LiabilityCF!AR22)</f>
        <v>-18.446164274840594</v>
      </c>
      <c r="AS110" s="82">
        <f ca="1">MIN(0,-AR111*LiabilityCF!AS22-SUM(AS105:AS107,AS109)/2*LiabilityCF!AS22)</f>
        <v>-19.379667096133964</v>
      </c>
      <c r="AT110" s="82">
        <f ca="1">MIN(0,-AS111*LiabilityCF!AT22-SUM(AT105:AT107,AT109)/2*LiabilityCF!AT22)</f>
        <v>-20.360615282074708</v>
      </c>
      <c r="AU110" s="82">
        <f ca="1">MIN(0,-AT111*LiabilityCF!AU22-SUM(AU105:AU107,AU109)/2*LiabilityCF!AU22)</f>
        <v>-21.386775359831287</v>
      </c>
      <c r="AV110" s="82">
        <f ca="1">MIN(0,-AU111*LiabilityCF!AV22-SUM(AV105:AV107,AV109)/2*LiabilityCF!AV22)</f>
        <v>-22.457151519718305</v>
      </c>
      <c r="AW110" s="82">
        <f ca="1">MIN(0,-AV111*LiabilityCF!AW22-SUM(AW105:AW107,AW109)/2*LiabilityCF!AW22)</f>
        <v>-23.582820201749421</v>
      </c>
      <c r="AX110" s="82">
        <f ca="1">MIN(0,-AW111*LiabilityCF!AX22-SUM(AX105:AX107,AX109)/2*LiabilityCF!AX22)</f>
        <v>-24.769245592135007</v>
      </c>
      <c r="AY110" s="82">
        <f ca="1">MIN(0,-AX111*LiabilityCF!AY22-SUM(AY105:AY107,AY109)/2*LiabilityCF!AY22)</f>
        <v>-26.024488296453299</v>
      </c>
      <c r="AZ110" s="82">
        <f ca="1">MIN(0,-AY111*LiabilityCF!AZ22-SUM(AZ105:AZ107,AZ109)/2*LiabilityCF!AZ22)</f>
        <v>-27.348196792395843</v>
      </c>
      <c r="BA110" s="82">
        <f ca="1">MIN(0,-AZ111*LiabilityCF!BA22-SUM(BA105:BA107,BA109)/2*LiabilityCF!BA22)</f>
        <v>-28.747135288538942</v>
      </c>
      <c r="BB110" s="82">
        <f ca="1">MIN(0,-BA111*LiabilityCF!BB22-SUM(BB105:BB107,BB109)/2*LiabilityCF!BB22)</f>
        <v>-30.231363033843838</v>
      </c>
      <c r="BC110" s="82">
        <f ca="1">MIN(0,-BB111*LiabilityCF!BC22-SUM(BC105:BC107,BC109)/2*LiabilityCF!BC22)</f>
        <v>-31.808872588095436</v>
      </c>
      <c r="BD110" s="82">
        <f ca="1">MIN(0,-BC111*LiabilityCF!BD22-SUM(BD105:BD107,BD109)/2*LiabilityCF!BD22)</f>
        <v>-33.483722269354757</v>
      </c>
      <c r="BE110" s="82">
        <f ca="1">MIN(0,-BD111*LiabilityCF!BE22-SUM(BE105:BE107,BE109)/2*LiabilityCF!BE22)</f>
        <v>-35.243234655098711</v>
      </c>
      <c r="BF110" s="82">
        <f ca="1">MIN(0,-BE111*LiabilityCF!BF22-SUM(BF105:BF107,BF109)/2*LiabilityCF!BF22)</f>
        <v>-37.09129324208952</v>
      </c>
      <c r="BG110" s="82">
        <f ca="1">MIN(0,-BF111*LiabilityCF!BG22-SUM(BG105:BG107,BG109)/2*LiabilityCF!BG22)</f>
        <v>-39.01432943115428</v>
      </c>
      <c r="BH110" s="82">
        <f ca="1">MIN(0,-BG111*LiabilityCF!BH22-SUM(BH105:BH107,BH109)/2*LiabilityCF!BH22)</f>
        <v>-41.006785340596586</v>
      </c>
      <c r="BI110" s="82">
        <f ca="1">MIN(0,-BH111*LiabilityCF!BI22-SUM(BI105:BI107,BI109)/2*LiabilityCF!BI22)</f>
        <v>-43.081721215169679</v>
      </c>
      <c r="BJ110" s="82">
        <f ca="1">MIN(0,-BI111*LiabilityCF!BJ22-SUM(BJ105:BJ107,BJ109)/2*LiabilityCF!BJ22)</f>
        <v>-45.224671627856999</v>
      </c>
      <c r="BK110" s="82">
        <f ca="1">MIN(0,-BJ111*LiabilityCF!BK22-SUM(BK105:BK107,BK109)/2*LiabilityCF!BK22)</f>
        <v>-47.423317206247006</v>
      </c>
      <c r="BL110" s="82">
        <f ca="1">MIN(0,-BK111*LiabilityCF!BL22-SUM(BL105:BL107,BL109)/2*LiabilityCF!BL22)</f>
        <v>-49.661028483964607</v>
      </c>
      <c r="BM110" s="82">
        <f ca="1">MIN(0,-BL111*LiabilityCF!BM22-SUM(BM105:BM107,BM109)/2*LiabilityCF!BM22)</f>
        <v>-51.954839163988787</v>
      </c>
      <c r="BN110" s="82">
        <f ca="1">MIN(0,-BM111*LiabilityCF!BN22-SUM(BN105:BN107,BN109)/2*LiabilityCF!BN22)</f>
        <v>-54.296253376222118</v>
      </c>
      <c r="BO110" s="82">
        <f ca="1">MIN(0,-BN111*LiabilityCF!BO22-SUM(BO105:BO107,BO109)/2*LiabilityCF!BO22)</f>
        <v>-56.695512024546431</v>
      </c>
      <c r="BP110" s="82">
        <f ca="1">MIN(0,-BO111*LiabilityCF!BP22-SUM(BP105:BP107,BP109)/2*LiabilityCF!BP22)</f>
        <v>-59.195349273911908</v>
      </c>
      <c r="BQ110" s="82">
        <f ca="1">MIN(0,-BP111*LiabilityCF!BQ22-SUM(BQ105:BQ107,BQ109)/2*LiabilityCF!BQ22)</f>
        <v>-61.76211181665073</v>
      </c>
      <c r="BR110" s="82">
        <f ca="1">MIN(0,-BQ111*LiabilityCF!BR22-SUM(BR105:BR107,BR109)/2*LiabilityCF!BR22)</f>
        <v>-64.424357684117794</v>
      </c>
      <c r="BS110" s="82">
        <f ca="1">MIN(0,-BR111*LiabilityCF!BS22-SUM(BS105:BS107,BS109)/2*LiabilityCF!BS22)</f>
        <v>-67.185407687370358</v>
      </c>
      <c r="BT110" s="82">
        <f ca="1">MIN(0,-BS111*LiabilityCF!BT22-SUM(BT105:BT107,BT109)/2*LiabilityCF!BT22)</f>
        <v>-70.080810806073416</v>
      </c>
      <c r="BU110" s="82">
        <f ca="1">MIN(0,-BT111*LiabilityCF!BU22-SUM(BU105:BU107,BU109)/2*LiabilityCF!BU22)</f>
        <v>-73.136191414944847</v>
      </c>
      <c r="BV110" s="82">
        <f ca="1">MIN(0,-BU111*LiabilityCF!BV22-SUM(BV105:BV107,BV109)/2*LiabilityCF!BV22)</f>
        <v>-76.366084668222769</v>
      </c>
      <c r="BW110" s="82">
        <f ca="1">MIN(0,-BV111*LiabilityCF!BW22-SUM(BW105:BW107,BW109)/2*LiabilityCF!BW22)</f>
        <v>-79.831459772937649</v>
      </c>
      <c r="BX110" s="82">
        <f ca="1">MIN(0,-BW111*LiabilityCF!BX22-SUM(BX105:BX107,BX109)/2*LiabilityCF!BX22)</f>
        <v>-83.503319831591057</v>
      </c>
      <c r="BY110" s="82">
        <f ca="1">MIN(0,-BX111*LiabilityCF!BY22-SUM(BY105:BY107,BY109)/2*LiabilityCF!BY22)</f>
        <v>-87.375083856348439</v>
      </c>
      <c r="BZ110" s="82">
        <f ca="1">MIN(0,-BY111*LiabilityCF!BZ22-SUM(BZ105:BZ107,BZ109)/2*LiabilityCF!BZ22)</f>
        <v>-91.387686236605248</v>
      </c>
      <c r="CA110" s="82">
        <f ca="1">MIN(0,-BZ111*LiabilityCF!CA22-SUM(CA105:CA107,CA109)/2*LiabilityCF!CA22)</f>
        <v>-95.403185249110876</v>
      </c>
      <c r="CB110" s="82">
        <f ca="1">MIN(0,-CA111*LiabilityCF!CB22-SUM(CB105:CB107,CB109)/2*LiabilityCF!CB22)</f>
        <v>-99.415634150664957</v>
      </c>
      <c r="CC110" s="82">
        <f ca="1">MIN(0,-CB111*LiabilityCF!CC22-SUM(CC105:CC107,CC109)/2*LiabilityCF!CC22)</f>
        <v>-103.39220670019283</v>
      </c>
      <c r="CD110" s="82">
        <f ca="1">MIN(0,-CC111*LiabilityCF!CD22-SUM(CD105:CD107,CD109)/2*LiabilityCF!CD22)</f>
        <v>-107.36670443477983</v>
      </c>
      <c r="CE110" s="82">
        <f ca="1">MIN(0,-CD111*LiabilityCF!CE22-SUM(CE105:CE107,CE109)/2*LiabilityCF!CE22)</f>
        <v>-111.47436857156812</v>
      </c>
      <c r="CF110" s="82">
        <f ca="1">MIN(0,-CE111*LiabilityCF!CF22-SUM(CF105:CF107,CF109)/2*LiabilityCF!CF22)</f>
        <v>-115.78419272717203</v>
      </c>
      <c r="CG110" s="82">
        <f ca="1">MIN(0,-CF111*LiabilityCF!CG22-SUM(CG105:CG107,CG109)/2*LiabilityCF!CG22)</f>
        <v>-120.40704367992591</v>
      </c>
      <c r="CH110" s="82">
        <f ca="1">MIN(0,-CG111*LiabilityCF!CH22-SUM(CH105:CH107,CH109)/2*LiabilityCF!CH22)</f>
        <v>-125.48340557474135</v>
      </c>
      <c r="CI110" s="82">
        <f ca="1">MIN(0,-CH111*LiabilityCF!CI22-SUM(CI105:CI107,CI109)/2*LiabilityCF!CI22)</f>
        <v>-131.20426299714262</v>
      </c>
      <c r="CJ110" s="82">
        <f ca="1">MIN(0,-CI111*LiabilityCF!CJ22-SUM(CJ105:CJ107,CJ109)/2*LiabilityCF!CJ22)</f>
        <v>-137.65679334352285</v>
      </c>
      <c r="CK110" s="82">
        <f ca="1">MIN(0,-CJ111*LiabilityCF!CK22-SUM(CK105:CK107,CK109)/2*LiabilityCF!CK22)</f>
        <v>-144.9116158616288</v>
      </c>
      <c r="CL110" s="82">
        <f ca="1">MIN(0,-CK111*LiabilityCF!CL22-SUM(CL105:CL107,CL109)/2*LiabilityCF!CL22)</f>
        <v>-152.97699155744132</v>
      </c>
      <c r="CM110" s="82">
        <f ca="1">MIN(0,-CL111*LiabilityCF!CM22-SUM(CM105:CM107,CM109)/2*LiabilityCF!CM22)</f>
        <v>-161.9532126549974</v>
      </c>
      <c r="CN110" s="82">
        <f ca="1">MIN(0,-CM111*LiabilityCF!CN22-SUM(CN105:CN107,CN109)/2*LiabilityCF!CN22)</f>
        <v>-171.85523164460929</v>
      </c>
      <c r="CO110" s="82">
        <f ca="1">MIN(0,-CN111*LiabilityCF!CO22-SUM(CO105:CO107,CO109)/2*LiabilityCF!CO22)</f>
        <v>-182.7817919384035</v>
      </c>
      <c r="CP110" s="82">
        <f ca="1">MIN(0,-CO111*LiabilityCF!CP22-SUM(CP105:CP107,CP109)/2*LiabilityCF!CP22)</f>
        <v>-194.68522662469067</v>
      </c>
      <c r="CQ110" s="82">
        <f ca="1">MIN(0,-CP111*LiabilityCF!CQ22-SUM(CQ105:CQ107,CQ109)/2*LiabilityCF!CQ22)</f>
        <v>-207.43155620867432</v>
      </c>
      <c r="CR110" s="82">
        <f ca="1">MIN(0,-CQ111*LiabilityCF!CR22-SUM(CR105:CR107,CR109)/2*LiabilityCF!CR22)</f>
        <v>-221.31597809171149</v>
      </c>
      <c r="CS110" s="82">
        <f ca="1">MIN(0,-CR111*LiabilityCF!CS22-SUM(CS105:CS107,CS109)/2*LiabilityCF!CS22)</f>
        <v>-236.81293896562528</v>
      </c>
      <c r="CT110" s="82">
        <f ca="1">MIN(0,-CS111*LiabilityCF!CT22-SUM(CT105:CT107,CT109)/2*LiabilityCF!CT22)</f>
        <v>-254.04672032507423</v>
      </c>
      <c r="CU110" s="82">
        <f ca="1">MIN(0,-CT111*LiabilityCF!CU22-SUM(CU105:CU107,CU109)/2*LiabilityCF!CU22)</f>
        <v>-273.50674337296766</v>
      </c>
      <c r="CV110" s="82">
        <f ca="1">MIN(0,-CU111*LiabilityCF!CV22-SUM(CV105:CV107,CV109)/2*LiabilityCF!CV22)</f>
        <v>-295.60337881630937</v>
      </c>
      <c r="CW110" s="82">
        <f ca="1">MIN(0,-CV111*LiabilityCF!CW22-SUM(CW105:CW107,CW109)/2*LiabilityCF!CW22)</f>
        <v>-320.51413218646559</v>
      </c>
      <c r="CX110" s="82">
        <f ca="1">MIN(0,-CW111*LiabilityCF!CX22-SUM(CX105:CX107,CX109)/2*LiabilityCF!CX22)</f>
        <v>-349.54880872788232</v>
      </c>
      <c r="CY110" s="82">
        <f ca="1">MIN(0,-CX111*LiabilityCF!CY22-SUM(CY105:CY107,CY109)/2*LiabilityCF!CY22)</f>
        <v>-382.49075891933586</v>
      </c>
      <c r="CZ110" s="82">
        <f ca="1">MIN(0,-CY111*LiabilityCF!CZ22-SUM(CZ105:CZ107,CZ109)/2*LiabilityCF!CZ22)</f>
        <v>-420.73393663047614</v>
      </c>
      <c r="DA110" s="82">
        <f ca="1">MIN(0,-CZ111*LiabilityCF!DA22-SUM(DA105:DA107,DA109)/2*LiabilityCF!DA22)</f>
        <v>0</v>
      </c>
      <c r="DB110" s="82">
        <f ca="1">MIN(0,-DA111*LiabilityCF!DB22-SUM(DB105:DB107,DB109)/2*LiabilityCF!DB22)</f>
        <v>0</v>
      </c>
      <c r="DC110" s="82">
        <f ca="1">MIN(0,-DB111*LiabilityCF!DC22-SUM(DC105:DC107,DC109)/2*LiabilityCF!DC22)</f>
        <v>0</v>
      </c>
      <c r="DD110" s="82">
        <f ca="1">MIN(0,-DC111*LiabilityCF!DD22-SUM(DD105:DD107,DD109)/2*LiabilityCF!DD22)</f>
        <v>0</v>
      </c>
      <c r="DE110" s="82">
        <f ca="1">MIN(0,-DD111*LiabilityCF!DE22-SUM(DE105:DE107,DE109)/2*LiabilityCF!DE22)</f>
        <v>0</v>
      </c>
      <c r="DF110" s="82">
        <f ca="1">MIN(0,-DE111*LiabilityCF!DF22-SUM(DF105:DF107,DF109)/2*LiabilityCF!DF22)</f>
        <v>0</v>
      </c>
      <c r="DG110" s="82">
        <f ca="1">MIN(0,-DF111*LiabilityCF!DG22-SUM(DG105:DG107,DG109)/2*LiabilityCF!DG22)</f>
        <v>0</v>
      </c>
      <c r="DH110" s="82">
        <f ca="1">MIN(0,-DG111*LiabilityCF!DH22-SUM(DH105:DH107,DH109)/2*LiabilityCF!DH22)</f>
        <v>0</v>
      </c>
      <c r="DI110" s="82">
        <f ca="1">MIN(0,-DH111*LiabilityCF!DI22-SUM(DI105:DI107,DI109)/2*LiabilityCF!DI22)</f>
        <v>0</v>
      </c>
      <c r="DJ110" s="82">
        <f ca="1">MIN(0,-DI111*LiabilityCF!DJ22-SUM(DJ105:DJ107,DJ109)/2*LiabilityCF!DJ22)</f>
        <v>0</v>
      </c>
      <c r="DK110" s="82">
        <f ca="1">MIN(0,-DJ111*LiabilityCF!DK22-SUM(DK105:DK107,DK109)/2*LiabilityCF!DK22)</f>
        <v>0</v>
      </c>
      <c r="DL110" s="82">
        <f ca="1">MIN(0,-DK111*LiabilityCF!DL22-SUM(DL105:DL107,DL109)/2*LiabilityCF!DL22)</f>
        <v>0</v>
      </c>
      <c r="DM110" s="82">
        <f ca="1">MIN(0,-DL111*LiabilityCF!DM22-SUM(DM105:DM107,DM109)/2*LiabilityCF!DM22)</f>
        <v>0</v>
      </c>
      <c r="DN110" s="82">
        <f ca="1">MIN(0,-DM111*LiabilityCF!DN22-SUM(DN105:DN107,DN109)/2*LiabilityCF!DN22)</f>
        <v>0</v>
      </c>
      <c r="DO110" s="82">
        <f ca="1">MIN(0,-DN111*LiabilityCF!DO22-SUM(DO105:DO107,DO109)/2*LiabilityCF!DO22)</f>
        <v>0</v>
      </c>
      <c r="DP110" s="82">
        <f ca="1">MIN(0,-DO111*LiabilityCF!DP22-SUM(DP105:DP107,DP109)/2*LiabilityCF!DP22)</f>
        <v>0</v>
      </c>
      <c r="DQ110" s="82">
        <f ca="1">MIN(0,-DP111*LiabilityCF!DQ22-SUM(DQ105:DQ107,DQ109)/2*LiabilityCF!DQ22)</f>
        <v>0</v>
      </c>
      <c r="DR110" s="82">
        <f ca="1">MIN(0,-DQ111*LiabilityCF!DR22-SUM(DR105:DR107,DR109)/2*LiabilityCF!DR22)</f>
        <v>0</v>
      </c>
      <c r="DS110" s="82">
        <f ca="1">MIN(0,-DR111*LiabilityCF!DS22-SUM(DS105:DS107,DS109)/2*LiabilityCF!DS22)</f>
        <v>0</v>
      </c>
      <c r="DT110" s="82">
        <f ca="1">MIN(0,-DS111*LiabilityCF!DT22-SUM(DT105:DT107,DT109)/2*LiabilityCF!DT22)</f>
        <v>0</v>
      </c>
      <c r="DU110" s="82">
        <f ca="1">MIN(0,-DT111*LiabilityCF!DU22-SUM(DU105:DU107,DU109)/2*LiabilityCF!DU22)</f>
        <v>0</v>
      </c>
      <c r="DV110" s="82">
        <f ca="1">MIN(0,-DU111*LiabilityCF!DV22-SUM(DV105:DV107,DV109)/2*LiabilityCF!DV22)</f>
        <v>0</v>
      </c>
      <c r="DW110" s="82">
        <f ca="1">MIN(0,-DV111*LiabilityCF!DW22-SUM(DW105:DW107,DW109)/2*LiabilityCF!DW22)</f>
        <v>0</v>
      </c>
      <c r="DX110" s="82">
        <f ca="1">MIN(0,-DW111*LiabilityCF!DX22-SUM(DX105:DX107,DX109)/2*LiabilityCF!DX22)</f>
        <v>0</v>
      </c>
      <c r="DY110" s="82">
        <f ca="1">MIN(0,-DX111*LiabilityCF!DY22-SUM(DY105:DY107,DY109)/2*LiabilityCF!DY22)</f>
        <v>0</v>
      </c>
      <c r="DZ110" s="82">
        <f ca="1">MIN(0,-DY111*LiabilityCF!DZ22-SUM(DZ105:DZ107,DZ109)/2*LiabilityCF!DZ22)</f>
        <v>0</v>
      </c>
      <c r="EA110" s="82">
        <f ca="1">MIN(0,-DZ111*LiabilityCF!EA22-SUM(EA105:EA107,EA109)/2*LiabilityCF!EA22)</f>
        <v>0</v>
      </c>
      <c r="EB110" s="82">
        <f ca="1">MIN(0,-EA111*LiabilityCF!EB22-SUM(EB105:EB107,EB109)/2*LiabilityCF!EB22)</f>
        <v>0</v>
      </c>
      <c r="EC110" s="82">
        <f ca="1">MIN(0,-EB111*LiabilityCF!EC22-SUM(EC105:EC107,EC109)/2*LiabilityCF!EC22)</f>
        <v>0</v>
      </c>
      <c r="ED110" s="82">
        <f ca="1">MIN(0,-EC111*LiabilityCF!ED22-SUM(ED105:ED107,ED109)/2*LiabilityCF!ED22)</f>
        <v>0</v>
      </c>
      <c r="EE110" s="82">
        <f ca="1">MIN(0,-ED111*LiabilityCF!EE22-SUM(EE105:EE107,EE109)/2*LiabilityCF!EE22)</f>
        <v>0</v>
      </c>
      <c r="EF110" s="82">
        <f ca="1">MIN(0,-EE111*LiabilityCF!EF22-SUM(EF105:EF107,EF109)/2*LiabilityCF!EF22)</f>
        <v>0</v>
      </c>
      <c r="EG110" s="82">
        <f ca="1">MIN(0,-EF111*LiabilityCF!EG22-SUM(EG105:EG107,EG109)/2*LiabilityCF!EG22)</f>
        <v>0</v>
      </c>
      <c r="EH110" s="82">
        <f ca="1">MIN(0,-EG111*LiabilityCF!EH22-SUM(EH105:EH107,EH109)/2*LiabilityCF!EH22)</f>
        <v>0</v>
      </c>
      <c r="EI110" s="82">
        <f ca="1">MIN(0,-EH111*LiabilityCF!EI22-SUM(EI105:EI107,EI109)/2*LiabilityCF!EI22)</f>
        <v>0</v>
      </c>
      <c r="EJ110" s="82">
        <f ca="1">MIN(0,-EI111*LiabilityCF!EJ22-SUM(EJ105:EJ107,EJ109)/2*LiabilityCF!EJ22)</f>
        <v>0</v>
      </c>
      <c r="EK110" s="82">
        <f ca="1">MIN(0,-EJ111*LiabilityCF!EK22-SUM(EK105:EK107,EK109)/2*LiabilityCF!EK22)</f>
        <v>0</v>
      </c>
      <c r="EL110" s="82">
        <f ca="1">MIN(0,-EK111*LiabilityCF!EL22-SUM(EL105:EL107,EL109)/2*LiabilityCF!EL22)</f>
        <v>0</v>
      </c>
    </row>
    <row r="111" spans="2:142" s="2" customFormat="1">
      <c r="B111" s="51" t="s">
        <v>58</v>
      </c>
      <c r="C111" s="81"/>
      <c r="D111" s="80">
        <f t="shared" ref="D111:AI111" ca="1" si="106">C111+SUM(D105:D110)</f>
        <v>30.691291600890089</v>
      </c>
      <c r="E111" s="80">
        <f t="shared" ca="1" si="106"/>
        <v>128.01650480294202</v>
      </c>
      <c r="F111" s="80">
        <f t="shared" ca="1" si="106"/>
        <v>289.94792534473856</v>
      </c>
      <c r="G111" s="80">
        <f t="shared" ca="1" si="106"/>
        <v>523.6179231124554</v>
      </c>
      <c r="H111" s="80">
        <f t="shared" ca="1" si="106"/>
        <v>784.56018833383746</v>
      </c>
      <c r="I111" s="80">
        <f t="shared" ca="1" si="106"/>
        <v>988.17483810723093</v>
      </c>
      <c r="J111" s="80">
        <f t="shared" ca="1" si="106"/>
        <v>1142.5597478996829</v>
      </c>
      <c r="K111" s="80">
        <f t="shared" ca="1" si="106"/>
        <v>1223.7378093254838</v>
      </c>
      <c r="L111" s="80">
        <f t="shared" ca="1" si="106"/>
        <v>1239.3889458054894</v>
      </c>
      <c r="M111" s="80">
        <f t="shared" ca="1" si="106"/>
        <v>1238.4162507235033</v>
      </c>
      <c r="N111" s="80">
        <f t="shared" ca="1" si="106"/>
        <v>1236.2702506575106</v>
      </c>
      <c r="O111" s="80">
        <f t="shared" ca="1" si="106"/>
        <v>1250.3316328588212</v>
      </c>
      <c r="P111" s="80">
        <f t="shared" ca="1" si="106"/>
        <v>1277.521437508808</v>
      </c>
      <c r="Q111" s="80">
        <f t="shared" ca="1" si="106"/>
        <v>1319.7512936734715</v>
      </c>
      <c r="R111" s="80">
        <f t="shared" ca="1" si="106"/>
        <v>1371.6116733148885</v>
      </c>
      <c r="S111" s="80">
        <f t="shared" ca="1" si="106"/>
        <v>1426.5757072248152</v>
      </c>
      <c r="T111" s="80">
        <f t="shared" ca="1" si="106"/>
        <v>1483.8574965831788</v>
      </c>
      <c r="U111" s="80">
        <f t="shared" ca="1" si="106"/>
        <v>1543.4238564419984</v>
      </c>
      <c r="V111" s="80">
        <f t="shared" ca="1" si="106"/>
        <v>1605.2565946321622</v>
      </c>
      <c r="W111" s="80">
        <f t="shared" ca="1" si="106"/>
        <v>1669.3355668697338</v>
      </c>
      <c r="X111" s="80">
        <f t="shared" ca="1" si="106"/>
        <v>1735.1911594567359</v>
      </c>
      <c r="Y111" s="80">
        <f t="shared" ca="1" si="106"/>
        <v>1802.6208936134676</v>
      </c>
      <c r="Z111" s="80">
        <f t="shared" ca="1" si="106"/>
        <v>1871.5164562709299</v>
      </c>
      <c r="AA111" s="80">
        <f t="shared" ca="1" si="106"/>
        <v>1941.8166747449775</v>
      </c>
      <c r="AB111" s="80">
        <f t="shared" ca="1" si="106"/>
        <v>2014.0099836001095</v>
      </c>
      <c r="AC111" s="80">
        <f t="shared" ca="1" si="106"/>
        <v>2087.7703955956304</v>
      </c>
      <c r="AD111" s="80">
        <f t="shared" ca="1" si="106"/>
        <v>2163.0606564445006</v>
      </c>
      <c r="AE111" s="80">
        <f t="shared" ca="1" si="106"/>
        <v>2239.7672384803104</v>
      </c>
      <c r="AF111" s="80">
        <f t="shared" ca="1" si="106"/>
        <v>2317.7003551686648</v>
      </c>
      <c r="AG111" s="80">
        <f t="shared" ca="1" si="106"/>
        <v>2397.4451468642728</v>
      </c>
      <c r="AH111" s="80">
        <f t="shared" ca="1" si="106"/>
        <v>2478.8884728826456</v>
      </c>
      <c r="AI111" s="80">
        <f t="shared" ca="1" si="106"/>
        <v>2561.9272800882122</v>
      </c>
      <c r="AJ111" s="80">
        <f t="shared" ref="AJ111:BO111" ca="1" si="107">AI111+SUM(AJ105:AJ110)</f>
        <v>2647.295005319163</v>
      </c>
      <c r="AK111" s="80">
        <f t="shared" ca="1" si="107"/>
        <v>2735.1397475036906</v>
      </c>
      <c r="AL111" s="80">
        <f t="shared" ca="1" si="107"/>
        <v>2826.2273460677038</v>
      </c>
      <c r="AM111" s="80">
        <f t="shared" ca="1" si="107"/>
        <v>2920.9527729132665</v>
      </c>
      <c r="AN111" s="80">
        <f t="shared" ca="1" si="107"/>
        <v>3019.6095515651173</v>
      </c>
      <c r="AO111" s="80">
        <f t="shared" ca="1" si="107"/>
        <v>3122.4835586381905</v>
      </c>
      <c r="AP111" s="80">
        <f t="shared" ca="1" si="107"/>
        <v>3229.9071654641357</v>
      </c>
      <c r="AQ111" s="80">
        <f t="shared" ca="1" si="107"/>
        <v>3342.3349408524355</v>
      </c>
      <c r="AR111" s="80">
        <f t="shared" ca="1" si="107"/>
        <v>3460.1555338274384</v>
      </c>
      <c r="AS111" s="80">
        <f t="shared" ca="1" si="107"/>
        <v>3583.922802390643</v>
      </c>
      <c r="AT111" s="80">
        <f t="shared" ca="1" si="107"/>
        <v>3713.6698949302559</v>
      </c>
      <c r="AU111" s="80">
        <f t="shared" ca="1" si="107"/>
        <v>3850.0646079532971</v>
      </c>
      <c r="AV111" s="80">
        <f t="shared" ca="1" si="107"/>
        <v>3993.9577027122245</v>
      </c>
      <c r="AW111" s="80">
        <f t="shared" ca="1" si="107"/>
        <v>4146.1482164199524</v>
      </c>
      <c r="AX111" s="80">
        <f t="shared" ca="1" si="107"/>
        <v>4307.5306057957023</v>
      </c>
      <c r="AY111" s="80">
        <f t="shared" ca="1" si="107"/>
        <v>4479.0798182215231</v>
      </c>
      <c r="AZ111" s="80">
        <f t="shared" ca="1" si="107"/>
        <v>4661.8883945858006</v>
      </c>
      <c r="BA111" s="80">
        <f t="shared" ca="1" si="107"/>
        <v>4857.0437364160689</v>
      </c>
      <c r="BB111" s="80">
        <f t="shared" ca="1" si="107"/>
        <v>5065.7656601985427</v>
      </c>
      <c r="BC111" s="80">
        <f t="shared" ca="1" si="107"/>
        <v>5289.2920408868313</v>
      </c>
      <c r="BD111" s="80">
        <f t="shared" ca="1" si="107"/>
        <v>5528.8550310673181</v>
      </c>
      <c r="BE111" s="80">
        <f t="shared" ca="1" si="107"/>
        <v>5785.6848968462218</v>
      </c>
      <c r="BF111" s="80">
        <f t="shared" ca="1" si="107"/>
        <v>6061.1199229653148</v>
      </c>
      <c r="BG111" s="80">
        <f t="shared" ca="1" si="107"/>
        <v>6356.7447502440009</v>
      </c>
      <c r="BH111" s="80">
        <f t="shared" ca="1" si="107"/>
        <v>6674.2754950072849</v>
      </c>
      <c r="BI111" s="80">
        <f t="shared" ca="1" si="107"/>
        <v>7015.6223434112699</v>
      </c>
      <c r="BJ111" s="80">
        <f t="shared" ca="1" si="107"/>
        <v>7382.7834187016224</v>
      </c>
      <c r="BK111" s="80">
        <f t="shared" ca="1" si="107"/>
        <v>7777.8236340171643</v>
      </c>
      <c r="BL111" s="80">
        <f t="shared" ca="1" si="107"/>
        <v>8202.9982304741097</v>
      </c>
      <c r="BM111" s="80">
        <f t="shared" ca="1" si="107"/>
        <v>8660.6958514847356</v>
      </c>
      <c r="BN111" s="80">
        <f t="shared" ca="1" si="107"/>
        <v>9153.4744261126943</v>
      </c>
      <c r="BO111" s="80">
        <f t="shared" ca="1" si="107"/>
        <v>9684.0581362681314</v>
      </c>
      <c r="BP111" s="80">
        <f t="shared" ref="BP111:CU111" ca="1" si="108">BO111+SUM(BP105:BP110)</f>
        <v>10255.304198235004</v>
      </c>
      <c r="BQ111" s="80">
        <f t="shared" ca="1" si="108"/>
        <v>10870.308494583978</v>
      </c>
      <c r="BR111" s="80">
        <f t="shared" ca="1" si="108"/>
        <v>11532.355200967237</v>
      </c>
      <c r="BS111" s="80">
        <f t="shared" ca="1" si="108"/>
        <v>12244.905057195896</v>
      </c>
      <c r="BT111" s="80">
        <f t="shared" ca="1" si="108"/>
        <v>13011.633390966996</v>
      </c>
      <c r="BU111" s="80">
        <f t="shared" ca="1" si="108"/>
        <v>13836.329663905597</v>
      </c>
      <c r="BV111" s="80">
        <f t="shared" ca="1" si="108"/>
        <v>14722.782330913607</v>
      </c>
      <c r="BW111" s="80">
        <f t="shared" ca="1" si="108"/>
        <v>15675.016086757354</v>
      </c>
      <c r="BX111" s="80">
        <f t="shared" ca="1" si="108"/>
        <v>16697.300536917806</v>
      </c>
      <c r="BY111" s="80">
        <f t="shared" ca="1" si="108"/>
        <v>17794.173615037984</v>
      </c>
      <c r="BZ111" s="80">
        <f t="shared" ca="1" si="108"/>
        <v>18970.550175887663</v>
      </c>
      <c r="CA111" s="80">
        <f t="shared" ca="1" si="108"/>
        <v>20231.721966019813</v>
      </c>
      <c r="CB111" s="80">
        <f t="shared" ca="1" si="108"/>
        <v>21583.508251342006</v>
      </c>
      <c r="CC111" s="80">
        <f t="shared" ca="1" si="108"/>
        <v>23032.311094975226</v>
      </c>
      <c r="CD111" s="80">
        <f t="shared" ca="1" si="108"/>
        <v>24585.038684636813</v>
      </c>
      <c r="CE111" s="80">
        <f t="shared" ca="1" si="108"/>
        <v>26249.284659676912</v>
      </c>
      <c r="CF111" s="80">
        <f t="shared" ca="1" si="108"/>
        <v>28033.101817066046</v>
      </c>
      <c r="CG111" s="80">
        <f t="shared" ca="1" si="108"/>
        <v>29945.29601763477</v>
      </c>
      <c r="CH111" s="80">
        <f t="shared" ca="1" si="108"/>
        <v>31995.248112371031</v>
      </c>
      <c r="CI111" s="80">
        <f t="shared" ca="1" si="108"/>
        <v>34192.714830775163</v>
      </c>
      <c r="CJ111" s="80">
        <f t="shared" ca="1" si="108"/>
        <v>36548.364781257646</v>
      </c>
      <c r="CK111" s="80">
        <f t="shared" ca="1" si="108"/>
        <v>39073.301008669063</v>
      </c>
      <c r="CL111" s="80">
        <f t="shared" ca="1" si="108"/>
        <v>41779.815991302821</v>
      </c>
      <c r="CM111" s="80">
        <f t="shared" ca="1" si="108"/>
        <v>44681.174556777238</v>
      </c>
      <c r="CN111" s="80">
        <f t="shared" ca="1" si="108"/>
        <v>47791.717122680682</v>
      </c>
      <c r="CO111" s="80">
        <f t="shared" ca="1" si="108"/>
        <v>51127.232288665924</v>
      </c>
      <c r="CP111" s="80">
        <f t="shared" ca="1" si="108"/>
        <v>54704.662504501153</v>
      </c>
      <c r="CQ111" s="80">
        <f t="shared" ca="1" si="108"/>
        <v>58542.677450905758</v>
      </c>
      <c r="CR111" s="80">
        <f t="shared" ca="1" si="108"/>
        <v>62661.184597866122</v>
      </c>
      <c r="CS111" s="80">
        <f t="shared" ca="1" si="108"/>
        <v>67080.7027696398</v>
      </c>
      <c r="CT111" s="80">
        <f t="shared" ca="1" si="108"/>
        <v>71823.545936587019</v>
      </c>
      <c r="CU111" s="80">
        <f t="shared" ca="1" si="108"/>
        <v>76912.521222293319</v>
      </c>
      <c r="CV111" s="80">
        <f t="shared" ref="CV111:EA111" ca="1" si="109">CU111+SUM(CV105:CV110)</f>
        <v>82371.517212544335</v>
      </c>
      <c r="CW111" s="80">
        <f t="shared" ca="1" si="109"/>
        <v>88225.904353401653</v>
      </c>
      <c r="CX111" s="80">
        <f t="shared" ca="1" si="109"/>
        <v>94500.999602741533</v>
      </c>
      <c r="CY111" s="80">
        <f t="shared" ca="1" si="109"/>
        <v>101224.26948039133</v>
      </c>
      <c r="CZ111" s="80">
        <f t="shared" ca="1" si="109"/>
        <v>108422.9176397258</v>
      </c>
      <c r="DA111" s="80">
        <f t="shared" ca="1" si="109"/>
        <v>108422.9176397258</v>
      </c>
      <c r="DB111" s="80">
        <f t="shared" ca="1" si="109"/>
        <v>108422.9176397258</v>
      </c>
      <c r="DC111" s="80">
        <f t="shared" ca="1" si="109"/>
        <v>108422.9176397258</v>
      </c>
      <c r="DD111" s="80">
        <f t="shared" ca="1" si="109"/>
        <v>108422.9176397258</v>
      </c>
      <c r="DE111" s="80">
        <f t="shared" ca="1" si="109"/>
        <v>108422.9176397258</v>
      </c>
      <c r="DF111" s="80">
        <f t="shared" ca="1" si="109"/>
        <v>108422.9176397258</v>
      </c>
      <c r="DG111" s="80">
        <f t="shared" ca="1" si="109"/>
        <v>108422.9176397258</v>
      </c>
      <c r="DH111" s="80">
        <f t="shared" ca="1" si="109"/>
        <v>108422.9176397258</v>
      </c>
      <c r="DI111" s="80">
        <f t="shared" ca="1" si="109"/>
        <v>108422.9176397258</v>
      </c>
      <c r="DJ111" s="80">
        <f t="shared" ca="1" si="109"/>
        <v>108422.9176397258</v>
      </c>
      <c r="DK111" s="80">
        <f t="shared" ca="1" si="109"/>
        <v>108422.9176397258</v>
      </c>
      <c r="DL111" s="80">
        <f t="shared" ca="1" si="109"/>
        <v>108422.9176397258</v>
      </c>
      <c r="DM111" s="80">
        <f t="shared" ca="1" si="109"/>
        <v>108422.9176397258</v>
      </c>
      <c r="DN111" s="80">
        <f t="shared" ca="1" si="109"/>
        <v>108422.9176397258</v>
      </c>
      <c r="DO111" s="80">
        <f t="shared" ca="1" si="109"/>
        <v>108422.9176397258</v>
      </c>
      <c r="DP111" s="80">
        <f t="shared" ca="1" si="109"/>
        <v>108422.9176397258</v>
      </c>
      <c r="DQ111" s="80">
        <f t="shared" ca="1" si="109"/>
        <v>108422.9176397258</v>
      </c>
      <c r="DR111" s="80">
        <f t="shared" ca="1" si="109"/>
        <v>108422.9176397258</v>
      </c>
      <c r="DS111" s="80">
        <f t="shared" ca="1" si="109"/>
        <v>108422.9176397258</v>
      </c>
      <c r="DT111" s="80">
        <f t="shared" ca="1" si="109"/>
        <v>108422.9176397258</v>
      </c>
      <c r="DU111" s="80">
        <f t="shared" ca="1" si="109"/>
        <v>108422.9176397258</v>
      </c>
      <c r="DV111" s="80">
        <f t="shared" ca="1" si="109"/>
        <v>108422.9176397258</v>
      </c>
      <c r="DW111" s="80">
        <f t="shared" ca="1" si="109"/>
        <v>108422.9176397258</v>
      </c>
      <c r="DX111" s="80">
        <f t="shared" ca="1" si="109"/>
        <v>108422.9176397258</v>
      </c>
      <c r="DY111" s="80">
        <f t="shared" ca="1" si="109"/>
        <v>108422.9176397258</v>
      </c>
      <c r="DZ111" s="80">
        <f t="shared" ca="1" si="109"/>
        <v>108422.9176397258</v>
      </c>
      <c r="EA111" s="80">
        <f t="shared" ca="1" si="109"/>
        <v>108422.9176397258</v>
      </c>
      <c r="EB111" s="80">
        <f t="shared" ref="EB111:EL111" ca="1" si="110">EA111+SUM(EB105:EB110)</f>
        <v>108422.9176397258</v>
      </c>
      <c r="EC111" s="80">
        <f t="shared" ca="1" si="110"/>
        <v>108422.9176397258</v>
      </c>
      <c r="ED111" s="80">
        <f t="shared" ca="1" si="110"/>
        <v>108422.9176397258</v>
      </c>
      <c r="EE111" s="80">
        <f t="shared" ca="1" si="110"/>
        <v>108422.9176397258</v>
      </c>
      <c r="EF111" s="80">
        <f t="shared" ca="1" si="110"/>
        <v>108422.9176397258</v>
      </c>
      <c r="EG111" s="80">
        <f t="shared" ca="1" si="110"/>
        <v>108422.9176397258</v>
      </c>
      <c r="EH111" s="80">
        <f t="shared" ca="1" si="110"/>
        <v>108422.9176397258</v>
      </c>
      <c r="EI111" s="80">
        <f t="shared" ca="1" si="110"/>
        <v>108422.9176397258</v>
      </c>
      <c r="EJ111" s="80">
        <f t="shared" ca="1" si="110"/>
        <v>108422.9176397258</v>
      </c>
      <c r="EK111" s="80">
        <f t="shared" ca="1" si="110"/>
        <v>108422.9176397258</v>
      </c>
      <c r="EL111" s="80">
        <f t="shared" ca="1" si="110"/>
        <v>108422.9176397258</v>
      </c>
    </row>
    <row r="112" spans="2:142" s="2" customFormat="1">
      <c r="B112" s="51" t="s">
        <v>57</v>
      </c>
      <c r="C112" s="35"/>
      <c r="D112" s="79">
        <f ca="1">IF(LiabilityCF!D22=0,0,C114*C59+SUM(D105:D107,D109)*((1+C59)^0.5-1))</f>
        <v>1.0776840030982653</v>
      </c>
      <c r="E112" s="79">
        <f ca="1">IF(LiabilityCF!E22=0,0,D114*D59+SUM(E105:E107,E109)*((1+D59)^0.5-1))</f>
        <v>5.6148114531905602</v>
      </c>
      <c r="F112" s="79">
        <f ca="1">IF(LiabilityCF!F22=0,0,E114*E59+SUM(F105:F107,F109)*((1+E59)^0.5-1))</f>
        <v>14.849587743304454</v>
      </c>
      <c r="G112" s="79">
        <f ca="1">IF(LiabilityCF!G22=0,0,F114*F59+SUM(G105:G107,G109)*((1+F59)^0.5-1))</f>
        <v>28.949436944870918</v>
      </c>
      <c r="H112" s="79">
        <f ca="1">IF(LiabilityCF!H22=0,0,G114*G59+SUM(H105:H107,H109)*((1+G59)^0.5-1))</f>
        <v>46.583046332647022</v>
      </c>
      <c r="I112" s="79">
        <f ca="1">IF(LiabilityCF!I22=0,0,H114*H59+SUM(I105:I107,I109)*((1+H59)^0.5-1))</f>
        <v>63.176249369869517</v>
      </c>
      <c r="J112" s="79">
        <f ca="1">IF(LiabilityCF!J22=0,0,I114*I59+SUM(J105:J107,J109)*((1+I59)^0.5-1))</f>
        <v>75.96533830064169</v>
      </c>
      <c r="K112" s="79">
        <f ca="1">IF(LiabilityCF!K22=0,0,J114*J59+SUM(K105:K107,K109)*((1+J59)^0.5-1))</f>
        <v>84.613427813352928</v>
      </c>
      <c r="L112" s="79">
        <f ca="1">IF(LiabilityCF!L22=0,0,K114*K59+SUM(L105:L107,L109)*((1+K59)^0.5-1))</f>
        <v>87.839873476975427</v>
      </c>
      <c r="M112" s="79">
        <f ca="1">IF(LiabilityCF!M22=0,0,L114*L59+SUM(M105:M107,M109)*((1+L59)^0.5-1))</f>
        <v>88.390329595833563</v>
      </c>
      <c r="N112" s="79">
        <f ca="1">IF(LiabilityCF!N22=0,0,M114*M59+SUM(N105:N107,N109)*((1+M59)^0.5-1))</f>
        <v>88.289185061844606</v>
      </c>
      <c r="O112" s="79">
        <f ca="1">IF(LiabilityCF!O22=0,0,N114*N59+SUM(O105:O107,O109)*((1+N59)^0.5-1))</f>
        <v>88.733186821578286</v>
      </c>
      <c r="P112" s="79">
        <f ca="1">IF(LiabilityCF!P22=0,0,O114*O59+SUM(P105:P107,P109)*((1+O59)^0.5-1))</f>
        <v>90.235238316916977</v>
      </c>
      <c r="Q112" s="79">
        <f ca="1">IF(LiabilityCF!Q22=0,0,P114*P59+SUM(Q105:Q107,Q109)*((1+P59)^0.5-1))</f>
        <v>92.584760496255157</v>
      </c>
      <c r="R112" s="79">
        <f ca="1">IF(LiabilityCF!R22=0,0,Q114*Q59+SUM(R105:R107,R109)*((1+Q59)^0.5-1))</f>
        <v>95.819658934099294</v>
      </c>
      <c r="S112" s="79">
        <f ca="1">IF(LiabilityCF!S22=0,0,R114*R59+SUM(S105:S107,S109)*((1+R59)^0.5-1))</f>
        <v>99.549552266040891</v>
      </c>
      <c r="T112" s="79">
        <f ca="1">IF(LiabilityCF!T22=0,0,S114*S59+SUM(T105:T107,T109)*((1+S59)^0.5-1))</f>
        <v>103.47116082769004</v>
      </c>
      <c r="U112" s="79">
        <f ca="1">IF(LiabilityCF!U22=0,0,T114*T59+SUM(U105:U107,U109)*((1+T59)^0.5-1))</f>
        <v>107.55309722116294</v>
      </c>
      <c r="V112" s="79">
        <f ca="1">IF(LiabilityCF!V22=0,0,U114*U59+SUM(V105:V107,V109)*((1+U59)^0.5-1))</f>
        <v>111.79587351668376</v>
      </c>
      <c r="W112" s="79">
        <f ca="1">IF(LiabilityCF!W22=0,0,V114*V59+SUM(W105:W107,W109)*((1+V59)^0.5-1))</f>
        <v>116.20023661322033</v>
      </c>
      <c r="X112" s="79">
        <f ca="1">IF(LiabilityCF!X22=0,0,W114*W59+SUM(X105:X107,X109)*((1+W59)^0.5-1))</f>
        <v>120.76196347095322</v>
      </c>
      <c r="Y112" s="79">
        <f ca="1">IF(LiabilityCF!Y22=0,0,X114*X59+SUM(Y105:Y107,Y109)*((1+X59)^0.5-1))</f>
        <v>125.45218503376279</v>
      </c>
      <c r="Z112" s="79">
        <f ca="1">IF(LiabilityCF!Z22=0,0,Y114*Y59+SUM(Z105:Z107,Z109)*((1+Y59)^0.5-1))</f>
        <v>130.26023452795371</v>
      </c>
      <c r="AA112" s="79">
        <f ca="1">IF(LiabilityCF!AA22=0,0,Z114*Z59+SUM(AA105:AA107,AA109)*((1+Z59)^0.5-1))</f>
        <v>135.17905705776076</v>
      </c>
      <c r="AB112" s="79">
        <f ca="1">IF(LiabilityCF!AB22=0,0,AA114*AA59+SUM(AB105:AB107,AB109)*((1+AA59)^0.5-1))</f>
        <v>140.20660289603686</v>
      </c>
      <c r="AC112" s="79">
        <f ca="1">IF(LiabilityCF!AC22=0,0,AB114*AB59+SUM(AC105:AC107,AC109)*((1+AB59)^0.5-1))</f>
        <v>145.37464544806735</v>
      </c>
      <c r="AD112" s="79">
        <f ca="1">IF(LiabilityCF!AD22=0,0,AC114*AC59+SUM(AD105:AD107,AD109)*((1+AC59)^0.5-1))</f>
        <v>150.66038223970762</v>
      </c>
      <c r="AE112" s="79">
        <f ca="1">IF(LiabilityCF!AE22=0,0,AD114*AD59+SUM(AE105:AE107,AE109)*((1+AD59)^0.5-1))</f>
        <v>156.05698246132812</v>
      </c>
      <c r="AF112" s="79">
        <f ca="1">IF(LiabilityCF!AF22=0,0,AE114*AE59+SUM(AF105:AF107,AF109)*((1+AE59)^0.5-1))</f>
        <v>161.55379097362945</v>
      </c>
      <c r="AG112" s="79">
        <f ca="1">IF(LiabilityCF!AG22=0,0,AF114*AF59+SUM(AG105:AG107,AG109)*((1+AF59)^0.5-1))</f>
        <v>167.14137385264019</v>
      </c>
      <c r="AH112" s="79">
        <f ca="1">IF(LiabilityCF!AH22=0,0,AG114*AG59+SUM(AH105:AH107,AH109)*((1+AG59)^0.5-1))</f>
        <v>172.86156220406636</v>
      </c>
      <c r="AI112" s="79">
        <f ca="1">IF(LiabilityCF!AI22=0,0,AH114*AH59+SUM(AI105:AI107,AI109)*((1+AH59)^0.5-1))</f>
        <v>178.69688749586066</v>
      </c>
      <c r="AJ112" s="79">
        <f ca="1">IF(LiabilityCF!AJ22=0,0,AI114*AI59+SUM(AJ105:AJ107,AJ109)*((1+AI59)^0.5-1))</f>
        <v>185.10693063035521</v>
      </c>
      <c r="AK112" s="79">
        <f ca="1">IF(LiabilityCF!AK22=0,0,AJ114*AJ59+SUM(AK105:AK107,AK109)*((1+AJ59)^0.5-1))</f>
        <v>191.71729146084238</v>
      </c>
      <c r="AL112" s="79">
        <f ca="1">IF(LiabilityCF!AL22=0,0,AK114*AK59+SUM(AL105:AL107,AL109)*((1+AK59)^0.5-1))</f>
        <v>198.54321811828012</v>
      </c>
      <c r="AM112" s="79">
        <f ca="1">IF(LiabilityCF!AM22=0,0,AL114*AL59+SUM(AM105:AM107,AM109)*((1+AL59)^0.5-1))</f>
        <v>205.64396968464129</v>
      </c>
      <c r="AN112" s="79">
        <f ca="1">IF(LiabilityCF!AN22=0,0,AM114*AM59+SUM(AN105:AN107,AN109)*((1+AM59)^0.5-1))</f>
        <v>213.04529313919016</v>
      </c>
      <c r="AO112" s="79">
        <f ca="1">IF(LiabilityCF!AO22=0,0,AN114*AN59+SUM(AO105:AO107,AO109)*((1+AN59)^0.5-1))</f>
        <v>220.76951628528644</v>
      </c>
      <c r="AP112" s="79">
        <f ca="1">IF(LiabilityCF!AP22=0,0,AO114*AO59+SUM(AP105:AP107,AP109)*((1+AO59)^0.5-1))</f>
        <v>228.84122893690201</v>
      </c>
      <c r="AQ112" s="79">
        <f ca="1">IF(LiabilityCF!AQ22=0,0,AP114*AP59+SUM(AQ105:AQ107,AQ109)*((1+AP59)^0.5-1))</f>
        <v>237.29069113801702</v>
      </c>
      <c r="AR112" s="79">
        <f ca="1">IF(LiabilityCF!AR22=0,0,AQ114*AQ59+SUM(AR105:AR107,AR109)*((1+AQ59)^0.5-1))</f>
        <v>246.15071247353271</v>
      </c>
      <c r="AS112" s="79">
        <f ca="1">IF(LiabilityCF!AS22=0,0,AR114*AR59+SUM(AS105:AS107,AS109)*((1+AR59)^0.5-1))</f>
        <v>255.4576776866478</v>
      </c>
      <c r="AT112" s="79">
        <f ca="1">IF(LiabilityCF!AT22=0,0,AS114*AS59+SUM(AT105:AT107,AT109)*((1+AS59)^0.5-1))</f>
        <v>264.62926963070191</v>
      </c>
      <c r="AU112" s="79">
        <f ca="1">IF(LiabilityCF!AU22=0,0,AT114*AT59+SUM(AU105:AU107,AU109)*((1+AT59)^0.5-1))</f>
        <v>274.25666747882417</v>
      </c>
      <c r="AV112" s="79">
        <f ca="1">IF(LiabilityCF!AV22=0,0,AU114*AU59+SUM(AV105:AV107,AV109)*((1+AU59)^0.5-1))</f>
        <v>284.39479363000805</v>
      </c>
      <c r="AW112" s="79">
        <f ca="1">IF(LiabilityCF!AW22=0,0,AV114*AV59+SUM(AW105:AW107,AW109)*((1+AV59)^0.5-1))</f>
        <v>295.10396465292149</v>
      </c>
      <c r="AX112" s="79">
        <f ca="1">IF(LiabilityCF!AX22=0,0,AW114*AW59+SUM(AX105:AX107,AX109)*((1+AW59)^0.5-1))</f>
        <v>306.44569217742173</v>
      </c>
      <c r="AY112" s="79">
        <f ca="1">IF(LiabilityCF!AY22=0,0,AX114*AX59+SUM(AY105:AY107,AY109)*((1+AX59)^0.5-1))</f>
        <v>318.48801501553385</v>
      </c>
      <c r="AZ112" s="79">
        <f ca="1">IF(LiabilityCF!AZ22=0,0,AY114*AY59+SUM(AZ105:AZ107,AZ109)*((1+AY59)^0.5-1))</f>
        <v>331.30367077160611</v>
      </c>
      <c r="BA112" s="79">
        <f ca="1">IF(LiabilityCF!BA22=0,0,AZ114*AZ59+SUM(BA105:BA107,BA109)*((1+AZ59)^0.5-1))</f>
        <v>344.9717251259101</v>
      </c>
      <c r="BB112" s="79">
        <f ca="1">IF(LiabilityCF!BB22=0,0,BA114*BA59+SUM(BB105:BB107,BB109)*((1+BA59)^0.5-1))</f>
        <v>359.57825824117646</v>
      </c>
      <c r="BC112" s="79">
        <f ca="1">IF(LiabilityCF!BC22=0,0,BB114*BB59+SUM(BC105:BC107,BC109)*((1+BB59)^0.5-1))</f>
        <v>375.21271608370995</v>
      </c>
      <c r="BD112" s="79">
        <f ca="1">IF(LiabilityCF!BD22=0,0,BC114*BC59+SUM(BD105:BD107,BD109)*((1+BC59)^0.5-1))</f>
        <v>391.96484868471435</v>
      </c>
      <c r="BE112" s="79">
        <f ca="1">IF(LiabilityCF!BE22=0,0,BD114*BD59+SUM(BE105:BE107,BE109)*((1+BD59)^0.5-1))</f>
        <v>409.92350135644796</v>
      </c>
      <c r="BF112" s="79">
        <f ca="1">IF(LiabilityCF!BF22=0,0,BE114*BE59+SUM(BF105:BF107,BF109)*((1+BE59)^0.5-1))</f>
        <v>429.18187210484757</v>
      </c>
      <c r="BG112" s="79">
        <f ca="1">IF(LiabilityCF!BG22=0,0,BF114*BF59+SUM(BG105:BG107,BG109)*((1+BF59)^0.5-1))</f>
        <v>449.84533992950719</v>
      </c>
      <c r="BH112" s="79">
        <f ca="1">IF(LiabilityCF!BH22=0,0,BG114*BG59+SUM(BH105:BH107,BH109)*((1+BG59)^0.5-1))</f>
        <v>472.03338716309219</v>
      </c>
      <c r="BI112" s="79">
        <f ca="1">IF(LiabilityCF!BI22=0,0,BH114*BH59+SUM(BI105:BI107,BI109)*((1+BH59)^0.5-1))</f>
        <v>495.87795763185869</v>
      </c>
      <c r="BJ112" s="79">
        <f ca="1">IF(LiabilityCF!BJ22=0,0,BI114*BI59+SUM(BJ105:BJ107,BJ109)*((1+BI59)^0.5-1))</f>
        <v>521.5203398116571</v>
      </c>
      <c r="BK112" s="79">
        <f ca="1">IF(LiabilityCF!BK22=0,0,BJ114*BJ59+SUM(BK105:BK107,BK109)*((1+BJ59)^0.5-1))</f>
        <v>549.10750852288379</v>
      </c>
      <c r="BL112" s="79">
        <f ca="1">IF(LiabilityCF!BL22=0,0,BK114*BK59+SUM(BL105:BL107,BL109)*((1+BK59)^0.5-1))</f>
        <v>578.79553161908962</v>
      </c>
      <c r="BM112" s="79">
        <f ca="1">IF(LiabilityCF!BM22=0,0,BL114*BL59+SUM(BM105:BM107,BM109)*((1+BL59)^0.5-1))</f>
        <v>610.75347462646323</v>
      </c>
      <c r="BN112" s="79">
        <f ca="1">IF(LiabilityCF!BN22=0,0,BM114*BM59+SUM(BN105:BN107,BN109)*((1+BM59)^0.5-1))</f>
        <v>645.160473882004</v>
      </c>
      <c r="BO112" s="79">
        <f ca="1">IF(LiabilityCF!BO22=0,0,BN114*BN59+SUM(BO105:BO107,BO109)*((1+BN59)^0.5-1))</f>
        <v>682.20852660540254</v>
      </c>
      <c r="BP112" s="79">
        <f ca="1">IF(LiabilityCF!BP22=0,0,BO114*BO59+SUM(BP105:BP107,BP109)*((1+BO59)^0.5-1))</f>
        <v>722.1016930720582</v>
      </c>
      <c r="BQ112" s="79">
        <f ca="1">IF(LiabilityCF!BQ22=0,0,BP114*BP59+SUM(BQ105:BQ107,BQ109)*((1+BP59)^0.5-1))</f>
        <v>765.0547688975098</v>
      </c>
      <c r="BR112" s="79">
        <f ca="1">IF(LiabilityCF!BR22=0,0,BQ114*BQ59+SUM(BR105:BR107,BR109)*((1+BQ59)^0.5-1))</f>
        <v>811.30031296466188</v>
      </c>
      <c r="BS112" s="79">
        <f ca="1">IF(LiabilityCF!BS22=0,0,BR114*BR59+SUM(BS105:BS107,BS109)*((1+BR59)^0.5-1))</f>
        <v>861.0832667093747</v>
      </c>
      <c r="BT112" s="79">
        <f ca="1">IF(LiabilityCF!BT22=0,0,BS114*BS59+SUM(BT105:BT107,BT109)*((1+BS59)^0.5-1))</f>
        <v>914.66391950147772</v>
      </c>
      <c r="BU112" s="79">
        <f ca="1">IF(LiabilityCF!BU22=0,0,BT114*BT59+SUM(BU105:BU107,BU109)*((1+BT59)^0.5-1))</f>
        <v>972.3142350489253</v>
      </c>
      <c r="BV112" s="79">
        <f ca="1">IF(LiabilityCF!BV22=0,0,BU114*BU59+SUM(BV105:BV107,BV109)*((1+BU59)^0.5-1))</f>
        <v>1034.3099462773434</v>
      </c>
      <c r="BW112" s="79">
        <f ca="1">IF(LiabilityCF!BW22=0,0,BV114*BV59+SUM(BW105:BW107,BW109)*((1+BV59)^0.5-1))</f>
        <v>1100.9368258134323</v>
      </c>
      <c r="BX112" s="79">
        <f ca="1">IF(LiabilityCF!BX22=0,0,BW114*BW59+SUM(BX105:BX107,BX109)*((1+BW59)^0.5-1))</f>
        <v>1172.4949543367134</v>
      </c>
      <c r="BY112" s="79">
        <f ca="1">IF(LiabilityCF!BY22=0,0,BX114*BX59+SUM(BY105:BY107,BY109)*((1+BX59)^0.5-1))</f>
        <v>1249.3038434740838</v>
      </c>
      <c r="BZ112" s="79">
        <f ca="1">IF(LiabilityCF!BZ22=0,0,BY114*BY59+SUM(BZ105:BZ107,BZ109)*((1+BY59)^0.5-1))</f>
        <v>1331.7045253062972</v>
      </c>
      <c r="CA112" s="79">
        <f ca="1">IF(LiabilityCF!CA22=0,0,BZ114*BZ59+SUM(CA105:CA107,CA109)*((1+BZ59)^0.5-1))</f>
        <v>1420.0626026085699</v>
      </c>
      <c r="CB112" s="79">
        <f ca="1">IF(LiabilityCF!CB22=0,0,CA114*CA59+SUM(CB105:CB107,CB109)*((1+CA59)^0.5-1))</f>
        <v>1514.7811399893678</v>
      </c>
      <c r="CC112" s="79">
        <f ca="1">IF(LiabilityCF!CC22=0,0,CB114*CB59+SUM(CC105:CC107,CC109)*((1+CB59)^0.5-1))</f>
        <v>1616.3026334958556</v>
      </c>
      <c r="CD112" s="79">
        <f ca="1">IF(LiabilityCF!CD22=0,0,CC114*CC59+SUM(CD105:CD107,CD109)*((1+CC59)^0.5-1))</f>
        <v>1725.111649239713</v>
      </c>
      <c r="CE112" s="79">
        <f ca="1">IF(LiabilityCF!CE22=0,0,CD114*CD59+SUM(CE105:CE107,CE109)*((1+CD59)^0.5-1))</f>
        <v>1841.7396877659439</v>
      </c>
      <c r="CF112" s="79">
        <f ca="1">IF(LiabilityCF!CF22=0,0,CE114*CE59+SUM(CF105:CF107,CF109)*((1+CE59)^0.5-1))</f>
        <v>1966.757800621762</v>
      </c>
      <c r="CG112" s="79">
        <f ca="1">IF(LiabilityCF!CG22=0,0,CF114*CF59+SUM(CG105:CG107,CG109)*((1+CF59)^0.5-1))</f>
        <v>2100.782543859727</v>
      </c>
      <c r="CH112" s="79">
        <f ca="1">IF(LiabilityCF!CH22=0,0,CG114*CG59+SUM(CH105:CH107,CH109)*((1+CG59)^0.5-1))</f>
        <v>2244.4801069390714</v>
      </c>
      <c r="CI112" s="79">
        <f ca="1">IF(LiabilityCF!CI22=0,0,CH114*CH59+SUM(CI105:CI107,CI109)*((1+CH59)^0.5-1))</f>
        <v>2398.5533359619903</v>
      </c>
      <c r="CJ112" s="79">
        <f ca="1">IF(LiabilityCF!CJ22=0,0,CI114*CI59+SUM(CJ105:CJ107,CJ109)*((1+CI59)^0.5-1))</f>
        <v>2563.7480411579877</v>
      </c>
      <c r="CK112" s="79">
        <f ca="1">IF(LiabilityCF!CK22=0,0,CJ114*CJ59+SUM(CK105:CK107,CK109)*((1+CJ59)^0.5-1))</f>
        <v>2740.8588741610765</v>
      </c>
      <c r="CL112" s="79">
        <f ca="1">IF(LiabilityCF!CL22=0,0,CK114*CK59+SUM(CL105:CL107,CL109)*((1+CK59)^0.5-1))</f>
        <v>2930.7369875490908</v>
      </c>
      <c r="CM112" s="79">
        <f ca="1">IF(LiabilityCF!CM22=0,0,CL114*CL59+SUM(CM105:CM107,CM109)*((1+CL59)^0.5-1))</f>
        <v>3134.3158037226417</v>
      </c>
      <c r="CN112" s="79">
        <f ca="1">IF(LiabilityCF!CN22=0,0,CM114*CM59+SUM(CN105:CN107,CN109)*((1+CM59)^0.5-1))</f>
        <v>3352.6003563393374</v>
      </c>
      <c r="CO112" s="79">
        <f ca="1">IF(LiabilityCF!CO22=0,0,CN114*CN59+SUM(CO105:CO107,CO109)*((1+CN59)^0.5-1))</f>
        <v>3586.6904879630501</v>
      </c>
      <c r="CP112" s="79">
        <f ca="1">IF(LiabilityCF!CP22=0,0,CO114*CO59+SUM(CP105:CP107,CP109)*((1+CO59)^0.5-1))</f>
        <v>3837.7759610799817</v>
      </c>
      <c r="CQ112" s="79">
        <f ca="1">IF(LiabilityCF!CQ22=0,0,CP114*CP59+SUM(CQ105:CQ107,CQ109)*((1+CP59)^0.5-1))</f>
        <v>4107.1481458845265</v>
      </c>
      <c r="CR112" s="79">
        <f ca="1">IF(LiabilityCF!CR22=0,0,CQ114*CQ59+SUM(CR105:CR107,CR109)*((1+CQ59)^0.5-1))</f>
        <v>4396.2222201670766</v>
      </c>
      <c r="CS112" s="79">
        <f ca="1">IF(LiabilityCF!CS22=0,0,CR114*CR59+SUM(CS105:CS107,CS109)*((1+CR59)^0.5-1))</f>
        <v>4706.4878429184437</v>
      </c>
      <c r="CT112" s="79">
        <f ca="1">IF(LiabilityCF!CT22=0,0,CS114*CS59+SUM(CT105:CT107,CT109)*((1+CS59)^0.5-1))</f>
        <v>5039.5094275771653</v>
      </c>
      <c r="CU112" s="79">
        <f ca="1">IF(LiabilityCF!CU22=0,0,CT114*CT59+SUM(CU105:CU107,CU109)*((1+CT59)^0.5-1))</f>
        <v>5396.9489404738133</v>
      </c>
      <c r="CV112" s="79">
        <f ca="1">IF(LiabilityCF!CV22=0,0,CU114*CU59+SUM(CV105:CV107,CV109)*((1+CU59)^0.5-1))</f>
        <v>5780.5228977192428</v>
      </c>
      <c r="CW112" s="79">
        <f ca="1">IF(LiabilityCF!CW22=0,0,CV114*CV59+SUM(CW105:CW107,CW109)*((1+CV59)^0.5-1))</f>
        <v>6192.0330260615965</v>
      </c>
      <c r="CX112" s="79">
        <f ca="1">IF(LiabilityCF!CX22=0,0,CW114*CW59+SUM(CX105:CX107,CX109)*((1+CW59)^0.5-1))</f>
        <v>6633.3749490720102</v>
      </c>
      <c r="CY112" s="79">
        <f ca="1">IF(LiabilityCF!CY22=0,0,CX114*CX59+SUM(CY105:CY107,CY109)*((1+CX59)^0.5-1))</f>
        <v>7106.4653828089304</v>
      </c>
      <c r="CZ112" s="79">
        <f ca="1">IF(LiabilityCF!CZ22=0,0,CY114*CY59+SUM(CZ105:CZ107,CZ109)*((1+CY59)^0.5-1))</f>
        <v>7613.3492376644963</v>
      </c>
      <c r="DA112" s="79">
        <f ca="1">IF(LiabilityCF!DA22=0,0,CZ114*CZ59+SUM(DA105:DA107,DA109)*((1+CZ59)^0.5-1))</f>
        <v>0</v>
      </c>
      <c r="DB112" s="79">
        <f ca="1">IF(LiabilityCF!DB22=0,0,DA114*DA59+SUM(DB105:DB107,DB109)*((1+DA59)^0.5-1))</f>
        <v>0</v>
      </c>
      <c r="DC112" s="79">
        <f ca="1">IF(LiabilityCF!DC22=0,0,DB114*DB59+SUM(DC105:DC107,DC109)*((1+DB59)^0.5-1))</f>
        <v>0</v>
      </c>
      <c r="DD112" s="79">
        <f ca="1">IF(LiabilityCF!DD22=0,0,DC114*DC59+SUM(DD105:DD107,DD109)*((1+DC59)^0.5-1))</f>
        <v>0</v>
      </c>
      <c r="DE112" s="79">
        <f ca="1">IF(LiabilityCF!DE22=0,0,DD114*DD59+SUM(DE105:DE107,DE109)*((1+DD59)^0.5-1))</f>
        <v>0</v>
      </c>
      <c r="DF112" s="79">
        <f ca="1">IF(LiabilityCF!DF22=0,0,DE114*DE59+SUM(DF105:DF107,DF109)*((1+DE59)^0.5-1))</f>
        <v>0</v>
      </c>
      <c r="DG112" s="79">
        <f ca="1">IF(LiabilityCF!DG22=0,0,DF114*DF59+SUM(DG105:DG107,DG109)*((1+DF59)^0.5-1))</f>
        <v>0</v>
      </c>
      <c r="DH112" s="79">
        <f ca="1">IF(LiabilityCF!DH22=0,0,DG114*DG59+SUM(DH105:DH107,DH109)*((1+DG59)^0.5-1))</f>
        <v>0</v>
      </c>
      <c r="DI112" s="79">
        <f ca="1">IF(LiabilityCF!DI22=0,0,DH114*DH59+SUM(DI105:DI107,DI109)*((1+DH59)^0.5-1))</f>
        <v>0</v>
      </c>
      <c r="DJ112" s="79">
        <f ca="1">IF(LiabilityCF!DJ22=0,0,DI114*DI59+SUM(DJ105:DJ107,DJ109)*((1+DI59)^0.5-1))</f>
        <v>0</v>
      </c>
      <c r="DK112" s="79">
        <f ca="1">IF(LiabilityCF!DK22=0,0,DJ114*DJ59+SUM(DK105:DK107,DK109)*((1+DJ59)^0.5-1))</f>
        <v>0</v>
      </c>
      <c r="DL112" s="79">
        <f ca="1">IF(LiabilityCF!DL22=0,0,DK114*DK59+SUM(DL105:DL107,DL109)*((1+DK59)^0.5-1))</f>
        <v>0</v>
      </c>
      <c r="DM112" s="79">
        <f ca="1">IF(LiabilityCF!DM22=0,0,DL114*DL59+SUM(DM105:DM107,DM109)*((1+DL59)^0.5-1))</f>
        <v>0</v>
      </c>
      <c r="DN112" s="79">
        <f ca="1">IF(LiabilityCF!DN22=0,0,DM114*DM59+SUM(DN105:DN107,DN109)*((1+DM59)^0.5-1))</f>
        <v>0</v>
      </c>
      <c r="DO112" s="79">
        <f ca="1">IF(LiabilityCF!DO22=0,0,DN114*DN59+SUM(DO105:DO107,DO109)*((1+DN59)^0.5-1))</f>
        <v>0</v>
      </c>
      <c r="DP112" s="79">
        <f ca="1">IF(LiabilityCF!DP22=0,0,DO114*DO59+SUM(DP105:DP107,DP109)*((1+DO59)^0.5-1))</f>
        <v>0</v>
      </c>
      <c r="DQ112" s="79">
        <f ca="1">IF(LiabilityCF!DQ22=0,0,DP114*DP59+SUM(DQ105:DQ107,DQ109)*((1+DP59)^0.5-1))</f>
        <v>0</v>
      </c>
      <c r="DR112" s="79">
        <f ca="1">IF(LiabilityCF!DR22=0,0,DQ114*DQ59+SUM(DR105:DR107,DR109)*((1+DQ59)^0.5-1))</f>
        <v>0</v>
      </c>
      <c r="DS112" s="79">
        <f ca="1">IF(LiabilityCF!DS22=0,0,DR114*DR59+SUM(DS105:DS107,DS109)*((1+DR59)^0.5-1))</f>
        <v>0</v>
      </c>
      <c r="DT112" s="79">
        <f ca="1">IF(LiabilityCF!DT22=0,0,DS114*DS59+SUM(DT105:DT107,DT109)*((1+DS59)^0.5-1))</f>
        <v>0</v>
      </c>
      <c r="DU112" s="79">
        <f ca="1">IF(LiabilityCF!DU22=0,0,DT114*DT59+SUM(DU105:DU107,DU109)*((1+DT59)^0.5-1))</f>
        <v>0</v>
      </c>
      <c r="DV112" s="79">
        <f ca="1">IF(LiabilityCF!DV22=0,0,DU114*DU59+SUM(DV105:DV107,DV109)*((1+DU59)^0.5-1))</f>
        <v>0</v>
      </c>
      <c r="DW112" s="79">
        <f ca="1">IF(LiabilityCF!DW22=0,0,DV114*DV59+SUM(DW105:DW107,DW109)*((1+DV59)^0.5-1))</f>
        <v>0</v>
      </c>
      <c r="DX112" s="79">
        <f ca="1">IF(LiabilityCF!DX22=0,0,DW114*DW59+SUM(DX105:DX107,DX109)*((1+DW59)^0.5-1))</f>
        <v>0</v>
      </c>
      <c r="DY112" s="79">
        <f ca="1">IF(LiabilityCF!DY22=0,0,DX114*DX59+SUM(DY105:DY107,DY109)*((1+DX59)^0.5-1))</f>
        <v>0</v>
      </c>
      <c r="DZ112" s="79">
        <f ca="1">IF(LiabilityCF!DZ22=0,0,DY114*DY59+SUM(DZ105:DZ107,DZ109)*((1+DY59)^0.5-1))</f>
        <v>0</v>
      </c>
      <c r="EA112" s="79">
        <f ca="1">IF(LiabilityCF!EA22=0,0,DZ114*DZ59+SUM(EA105:EA107,EA109)*((1+DZ59)^0.5-1))</f>
        <v>0</v>
      </c>
      <c r="EB112" s="79">
        <f ca="1">IF(LiabilityCF!EB22=0,0,EA114*EA59+SUM(EB105:EB107,EB109)*((1+EA59)^0.5-1))</f>
        <v>0</v>
      </c>
      <c r="EC112" s="79">
        <f ca="1">IF(LiabilityCF!EC22=0,0,EB114*EB59+SUM(EC105:EC107,EC109)*((1+EB59)^0.5-1))</f>
        <v>0</v>
      </c>
      <c r="ED112" s="79">
        <f ca="1">IF(LiabilityCF!ED22=0,0,EC114*EC59+SUM(ED105:ED107,ED109)*((1+EC59)^0.5-1))</f>
        <v>0</v>
      </c>
      <c r="EE112" s="79">
        <f ca="1">IF(LiabilityCF!EE22=0,0,ED114*ED59+SUM(EE105:EE107,EE109)*((1+ED59)^0.5-1))</f>
        <v>0</v>
      </c>
      <c r="EF112" s="79">
        <f ca="1">IF(LiabilityCF!EF22=0,0,EE114*EE59+SUM(EF105:EF107,EF109)*((1+EE59)^0.5-1))</f>
        <v>0</v>
      </c>
      <c r="EG112" s="79">
        <f ca="1">IF(LiabilityCF!EG22=0,0,EF114*EF59+SUM(EG105:EG107,EG109)*((1+EF59)^0.5-1))</f>
        <v>0</v>
      </c>
      <c r="EH112" s="79">
        <f ca="1">IF(LiabilityCF!EH22=0,0,EG114*EG59+SUM(EH105:EH107,EH109)*((1+EG59)^0.5-1))</f>
        <v>0</v>
      </c>
      <c r="EI112" s="79">
        <f ca="1">IF(LiabilityCF!EI22=0,0,EH114*EH59+SUM(EI105:EI107,EI109)*((1+EH59)^0.5-1))</f>
        <v>0</v>
      </c>
      <c r="EJ112" s="79">
        <f ca="1">IF(LiabilityCF!EJ22=0,0,EI114*EI59+SUM(EJ105:EJ107,EJ109)*((1+EI59)^0.5-1))</f>
        <v>0</v>
      </c>
      <c r="EK112" s="79">
        <f ca="1">IF(LiabilityCF!EK22=0,0,EJ114*EJ59+SUM(EK105:EK107,EK109)*((1+EJ59)^0.5-1))</f>
        <v>0</v>
      </c>
      <c r="EL112" s="79">
        <f ca="1">IF(LiabilityCF!EL22=0,0,EK114*EK59+SUM(EL105:EL107,EL109)*((1+EK59)^0.5-1))</f>
        <v>0</v>
      </c>
    </row>
    <row r="113" spans="1:142" s="2" customFormat="1">
      <c r="B113" s="51" t="s">
        <v>56</v>
      </c>
      <c r="C113" s="35"/>
      <c r="D113" s="78">
        <f ca="1">MIN(0,-C114*LiabilityCF!D22-SUM(D105:D107,D109)/2*LiabilityCF!D22)</f>
        <v>-3.3899193747568015E-3</v>
      </c>
      <c r="E113" s="78">
        <f ca="1">MIN(0,-D114*LiabilityCF!E22-SUM(E105:E107,E109)/2*LiabilityCF!E22)</f>
        <v>-2.3880698394296736E-2</v>
      </c>
      <c r="F113" s="78">
        <f ca="1">MIN(0,-E114*LiabilityCF!F22-SUM(F105:F107,F109)/2*LiabilityCF!F22)</f>
        <v>-6.6130249953701481E-2</v>
      </c>
      <c r="G113" s="78">
        <f ca="1">MIN(0,-F114*LiabilityCF!G22-SUM(G105:G107,G109)/2*LiabilityCF!G22)</f>
        <v>-0.13669432345032287</v>
      </c>
      <c r="H113" s="78">
        <f ca="1">MIN(0,-G114*LiabilityCF!H22-SUM(H105:H107,H109)/2*LiabilityCF!H22)</f>
        <v>-0.25119069002756078</v>
      </c>
      <c r="I113" s="78">
        <f ca="1">MIN(0,-H114*LiabilityCF!I22-SUM(I105:I107,I109)/2*LiabilityCF!I22)</f>
        <v>-0.37389743660254426</v>
      </c>
      <c r="J113" s="78">
        <f ca="1">MIN(0,-I114*LiabilityCF!J22-SUM(J105:J107,J109)/2*LiabilityCF!J22)</f>
        <v>-0.63738282776668387</v>
      </c>
      <c r="K113" s="78">
        <f ca="1">MIN(0,-J114*LiabilityCF!K22-SUM(K105:K107,K109)/2*LiabilityCF!K22)</f>
        <v>-7.1229443041170883</v>
      </c>
      <c r="L113" s="78">
        <f ca="1">MIN(0,-K114*LiabilityCF!L22-SUM(L105:L107,L109)/2*LiabilityCF!L22)</f>
        <v>0</v>
      </c>
      <c r="M113" s="78">
        <f ca="1">MIN(0,-L114*LiabilityCF!M22-SUM(M105:M107,M109)/2*LiabilityCF!M22)</f>
        <v>-1.3013679490195482</v>
      </c>
      <c r="N113" s="78">
        <f ca="1">MIN(0,-M114*LiabilityCF!N22-SUM(N105:N107,N109)/2*LiabilityCF!N22)</f>
        <v>-2.5966173815033824</v>
      </c>
      <c r="O113" s="78">
        <f ca="1">MIN(0,-N114*LiabilityCF!O22-SUM(O105:O107,O109)/2*LiabilityCF!O22)</f>
        <v>-4.2569002867438837</v>
      </c>
      <c r="P113" s="78">
        <f ca="1">MIN(0,-O114*LiabilityCF!P22-SUM(P105:P107,P109)/2*LiabilityCF!P22)</f>
        <v>-6.5164289198840937</v>
      </c>
      <c r="Q113" s="78">
        <f ca="1">MIN(0,-P114*LiabilityCF!Q22-SUM(Q105:Q107,Q109)/2*LiabilityCF!Q22)</f>
        <v>-4.7482867081101876</v>
      </c>
      <c r="R113" s="78">
        <f ca="1">MIN(0,-Q114*LiabilityCF!R22-SUM(R105:R107,R109)/2*LiabilityCF!R22)</f>
        <v>-3.404886358250566</v>
      </c>
      <c r="S113" s="78">
        <f ca="1">MIN(0,-R114*LiabilityCF!S22-SUM(S105:S107,S109)/2*LiabilityCF!S22)</f>
        <v>-3.4042820898510486</v>
      </c>
      <c r="T113" s="78">
        <f ca="1">MIN(0,-S114*LiabilityCF!T22-SUM(T105:T107,T109)/2*LiabilityCF!T22)</f>
        <v>-3.5538683456233677</v>
      </c>
      <c r="U113" s="78">
        <f ca="1">MIN(0,-T114*LiabilityCF!U22-SUM(U105:U107,U109)/2*LiabilityCF!U22)</f>
        <v>-3.7125960158480322</v>
      </c>
      <c r="V113" s="78">
        <f ca="1">MIN(0,-U114*LiabilityCF!V22-SUM(V105:V107,V109)/2*LiabilityCF!V22)</f>
        <v>-3.8782830787672413</v>
      </c>
      <c r="W113" s="78">
        <f ca="1">MIN(0,-V114*LiabilityCF!W22-SUM(W105:W107,W109)/2*LiabilityCF!W22)</f>
        <v>-4.0519623680958947</v>
      </c>
      <c r="X113" s="78">
        <f ca="1">MIN(0,-W114*LiabilityCF!X22-SUM(X105:X107,X109)/2*LiabilityCF!X22)</f>
        <v>-4.5160718434159213</v>
      </c>
      <c r="Y113" s="78">
        <f ca="1">MIN(0,-X114*LiabilityCF!Y22-SUM(Y105:Y107,Y109)/2*LiabilityCF!Y22)</f>
        <v>-5.0412629842186725</v>
      </c>
      <c r="Z113" s="78">
        <f ca="1">MIN(0,-Y114*LiabilityCF!Z22-SUM(Z105:Z107,Z109)/2*LiabilityCF!Z22)</f>
        <v>-5.6070704939797062</v>
      </c>
      <c r="AA113" s="78">
        <f ca="1">MIN(0,-Z114*LiabilityCF!AA22-SUM(AA105:AA107,AA109)/2*LiabilityCF!AA22)</f>
        <v>-6.2014920767647315</v>
      </c>
      <c r="AB113" s="78">
        <f ca="1">MIN(0,-AA114*LiabilityCF!AB22-SUM(AB105:AB107,AB109)/2*LiabilityCF!AB22)</f>
        <v>-6.3709217232012456</v>
      </c>
      <c r="AC113" s="78">
        <f ca="1">MIN(0,-AB114*LiabilityCF!AC22-SUM(AC105:AC107,AC109)/2*LiabilityCF!AC22)</f>
        <v>-6.8837159659386451</v>
      </c>
      <c r="AD113" s="78">
        <f ca="1">MIN(0,-AC114*LiabilityCF!AD22-SUM(AD105:AD107,AD109)/2*LiabilityCF!AD22)</f>
        <v>-7.5203649980658902</v>
      </c>
      <c r="AE113" s="78">
        <f ca="1">MIN(0,-AD114*LiabilityCF!AE22-SUM(AE105:AE107,AE109)/2*LiabilityCF!AE22)</f>
        <v>-8.286410781577052</v>
      </c>
      <c r="AF113" s="78">
        <f ca="1">MIN(0,-AE114*LiabilityCF!AF22-SUM(AF105:AF107,AF109)/2*LiabilityCF!AF22)</f>
        <v>-9.1780365041486824</v>
      </c>
      <c r="AG113" s="78">
        <f ca="1">MIN(0,-AF114*LiabilityCF!AG22-SUM(AG105:AG107,AG109)/2*LiabilityCF!AG22)</f>
        <v>-9.5476587032157809</v>
      </c>
      <c r="AH113" s="78">
        <f ca="1">MIN(0,-AG114*LiabilityCF!AH22-SUM(AH105:AH107,AH109)/2*LiabilityCF!AH22)</f>
        <v>-10.267892740280239</v>
      </c>
      <c r="AI113" s="78">
        <f ca="1">MIN(0,-AH114*LiabilityCF!AI22-SUM(AI105:AI107,AI109)/2*LiabilityCF!AI22)</f>
        <v>-11.100841069614878</v>
      </c>
      <c r="AJ113" s="78">
        <f ca="1">MIN(0,-AI114*LiabilityCF!AJ22-SUM(AJ105:AJ107,AJ109)/2*LiabilityCF!AJ22)</f>
        <v>-12.035401807369956</v>
      </c>
      <c r="AK113" s="78">
        <f ca="1">MIN(0,-AJ114*LiabilityCF!AK22-SUM(AK105:AK107,AK109)/2*LiabilityCF!AK22)</f>
        <v>-13.065165805623511</v>
      </c>
      <c r="AL113" s="78">
        <f ca="1">MIN(0,-AK114*LiabilityCF!AL22-SUM(AL105:AL107,AL109)/2*LiabilityCF!AL22)</f>
        <v>-13.677200914236213</v>
      </c>
      <c r="AM113" s="78">
        <f ca="1">MIN(0,-AL114*LiabilityCF!AM22-SUM(AM105:AM107,AM109)/2*LiabilityCF!AM22)</f>
        <v>-14.333178486460179</v>
      </c>
      <c r="AN113" s="78">
        <f ca="1">MIN(0,-AM114*LiabilityCF!AN22-SUM(AN105:AN107,AN109)/2*LiabilityCF!AN22)</f>
        <v>-15.036078549010043</v>
      </c>
      <c r="AO113" s="78">
        <f ca="1">MIN(0,-AN114*LiabilityCF!AO22-SUM(AO105:AO107,AO109)/2*LiabilityCF!AO22)</f>
        <v>-15.785274802233401</v>
      </c>
      <c r="AP113" s="78">
        <f ca="1">MIN(0,-AO114*LiabilityCF!AP22-SUM(AP105:AP107,AP109)/2*LiabilityCF!AP22)</f>
        <v>-16.57814688857512</v>
      </c>
      <c r="AQ113" s="78">
        <f ca="1">MIN(0,-AP114*LiabilityCF!AQ22-SUM(AQ105:AQ107,AQ109)/2*LiabilityCF!AQ22)</f>
        <v>-17.413833638066521</v>
      </c>
      <c r="AR113" s="78">
        <f ca="1">MIN(0,-AQ114*LiabilityCF!AR22-SUM(AR105:AR107,AR109)/2*LiabilityCF!AR22)</f>
        <v>-18.295472537631262</v>
      </c>
      <c r="AS113" s="78">
        <f ca="1">MIN(0,-AR114*LiabilityCF!AS22-SUM(AS105:AS107,AS109)/2*LiabilityCF!AS22)</f>
        <v>-19.219116145556153</v>
      </c>
      <c r="AT113" s="78">
        <f ca="1">MIN(0,-AS114*LiabilityCF!AT22-SUM(AT105:AT107,AT109)/2*LiabilityCF!AT22)</f>
        <v>-20.189551023555875</v>
      </c>
      <c r="AU113" s="78">
        <f ca="1">MIN(0,-AT114*LiabilityCF!AU22-SUM(AU105:AU107,AU109)/2*LiabilityCF!AU22)</f>
        <v>-21.204592566224537</v>
      </c>
      <c r="AV113" s="78">
        <f ca="1">MIN(0,-AU114*LiabilityCF!AV22-SUM(AV105:AV107,AV109)/2*LiabilityCF!AV22)</f>
        <v>-22.26325290266039</v>
      </c>
      <c r="AW113" s="78">
        <f ca="1">MIN(0,-AV114*LiabilityCF!AW22-SUM(AW105:AW107,AW109)/2*LiabilityCF!AW22)</f>
        <v>-23.376537433428958</v>
      </c>
      <c r="AX113" s="78">
        <f ca="1">MIN(0,-AW114*LiabilityCF!AX22-SUM(AX105:AX107,AX109)/2*LiabilityCF!AX22)</f>
        <v>-24.549871562709964</v>
      </c>
      <c r="AY113" s="78">
        <f ca="1">MIN(0,-AX114*LiabilityCF!AY22-SUM(AY105:AY107,AY109)/2*LiabilityCF!AY22)</f>
        <v>-25.791260316953501</v>
      </c>
      <c r="AZ113" s="78">
        <f ca="1">MIN(0,-AY114*LiabilityCF!AZ22-SUM(AZ105:AZ107,AZ109)/2*LiabilityCF!AZ22)</f>
        <v>-27.100376801999211</v>
      </c>
      <c r="BA113" s="78">
        <f ca="1">MIN(0,-AZ114*LiabilityCF!BA22-SUM(BA105:BA107,BA109)/2*LiabilityCF!BA22)</f>
        <v>-28.483571819684833</v>
      </c>
      <c r="BB113" s="78">
        <f ca="1">MIN(0,-BA114*LiabilityCF!BB22-SUM(BB105:BB107,BB109)/2*LiabilityCF!BB22)</f>
        <v>-29.951185204837316</v>
      </c>
      <c r="BC113" s="78">
        <f ca="1">MIN(0,-BB114*LiabilityCF!BC22-SUM(BC105:BC107,BC109)/2*LiabilityCF!BC22)</f>
        <v>-31.511167958386945</v>
      </c>
      <c r="BD113" s="78">
        <f ca="1">MIN(0,-BC114*LiabilityCF!BD22-SUM(BD105:BD107,BD109)/2*LiabilityCF!BD22)</f>
        <v>-33.167573366474869</v>
      </c>
      <c r="BE113" s="78">
        <f ca="1">MIN(0,-BD114*LiabilityCF!BE22-SUM(BE105:BE107,BE109)/2*LiabilityCF!BE22)</f>
        <v>-34.907877250095375</v>
      </c>
      <c r="BF113" s="78">
        <f ca="1">MIN(0,-BE114*LiabilityCF!BF22-SUM(BF105:BF107,BF109)/2*LiabilityCF!BF22)</f>
        <v>-36.735963613846451</v>
      </c>
      <c r="BG113" s="78">
        <f ca="1">MIN(0,-BF114*LiabilityCF!BG22-SUM(BG105:BG107,BG109)/2*LiabilityCF!BG22)</f>
        <v>-38.638440088038863</v>
      </c>
      <c r="BH113" s="78">
        <f ca="1">MIN(0,-BG114*LiabilityCF!BH22-SUM(BH105:BH107,BH109)/2*LiabilityCF!BH22)</f>
        <v>-40.609858292462512</v>
      </c>
      <c r="BI113" s="78">
        <f ca="1">MIN(0,-BH114*LiabilityCF!BI22-SUM(BI105:BI107,BI109)/2*LiabilityCF!BI22)</f>
        <v>-42.663213706693099</v>
      </c>
      <c r="BJ113" s="78">
        <f ca="1">MIN(0,-BI114*LiabilityCF!BJ22-SUM(BJ105:BJ107,BJ109)/2*LiabilityCF!BJ22)</f>
        <v>-44.784245601578128</v>
      </c>
      <c r="BK113" s="78">
        <f ca="1">MIN(0,-BJ114*LiabilityCF!BK22-SUM(BK105:BK107,BK109)/2*LiabilityCF!BK22)</f>
        <v>-46.96081662951444</v>
      </c>
      <c r="BL113" s="78">
        <f ca="1">MIN(0,-BK114*LiabilityCF!BL22-SUM(BL105:BL107,BL109)/2*LiabilityCF!BL22)</f>
        <v>-49.176519763404002</v>
      </c>
      <c r="BM113" s="78">
        <f ca="1">MIN(0,-BL114*LiabilityCF!BM22-SUM(BM105:BM107,BM109)/2*LiabilityCF!BM22)</f>
        <v>-51.448281516040602</v>
      </c>
      <c r="BN113" s="78">
        <f ca="1">MIN(0,-BM114*LiabilityCF!BN22-SUM(BN105:BN107,BN109)/2*LiabilityCF!BN22)</f>
        <v>-53.767744865929771</v>
      </c>
      <c r="BO113" s="78">
        <f ca="1">MIN(0,-BN114*LiabilityCF!BO22-SUM(BO105:BO107,BO109)/2*LiabilityCF!BO22)</f>
        <v>-56.145103892627091</v>
      </c>
      <c r="BP113" s="78">
        <f ca="1">MIN(0,-BO114*LiabilityCF!BP22-SUM(BP105:BP107,BP109)/2*LiabilityCF!BP22)</f>
        <v>-58.622729061299012</v>
      </c>
      <c r="BQ113" s="78">
        <f ca="1">MIN(0,-BP114*LiabilityCF!BQ22-SUM(BQ105:BQ107,BQ109)/2*LiabilityCF!BQ22)</f>
        <v>-61.16734294572526</v>
      </c>
      <c r="BR113" s="78">
        <f ca="1">MIN(0,-BQ114*LiabilityCF!BR22-SUM(BR105:BR107,BR109)/2*LiabilityCF!BR22)</f>
        <v>-63.80727548971425</v>
      </c>
      <c r="BS113" s="78">
        <f ca="1">MIN(0,-BR114*LiabilityCF!BS22-SUM(BS105:BS107,BS109)/2*LiabilityCF!BS22)</f>
        <v>-66.545861993718574</v>
      </c>
      <c r="BT113" s="78">
        <f ca="1">MIN(0,-BS114*LiabilityCF!BT22-SUM(BT105:BT107,BT109)/2*LiabilityCF!BT22)</f>
        <v>-69.418359171208394</v>
      </c>
      <c r="BU113" s="78">
        <f ca="1">MIN(0,-BT114*LiabilityCF!BU22-SUM(BU105:BU107,BU109)/2*LiabilityCF!BU22)</f>
        <v>-72.450197991683496</v>
      </c>
      <c r="BV113" s="78">
        <f ca="1">MIN(0,-BU114*LiabilityCF!BV22-SUM(BV105:BV107,BV109)/2*LiabilityCF!BV22)</f>
        <v>-75.655821795755685</v>
      </c>
      <c r="BW113" s="78">
        <f ca="1">MIN(0,-BV114*LiabilityCF!BW22-SUM(BW105:BW107,BW109)/2*LiabilityCF!BW22)</f>
        <v>-79.095680111109274</v>
      </c>
      <c r="BX113" s="78">
        <f ca="1">MIN(0,-BW114*LiabilityCF!BX22-SUM(BX105:BX107,BX109)/2*LiabilityCF!BX22)</f>
        <v>-82.741099335938998</v>
      </c>
      <c r="BY113" s="78">
        <f ca="1">MIN(0,-BX114*LiabilityCF!BY22-SUM(BY105:BY107,BY109)/2*LiabilityCF!BY22)</f>
        <v>-86.585608323813062</v>
      </c>
      <c r="BZ113" s="78">
        <f ca="1">MIN(0,-BY114*LiabilityCF!BZ22-SUM(BZ105:BZ107,BZ109)/2*LiabilityCF!BZ22)</f>
        <v>-90.570718357772975</v>
      </c>
      <c r="CA113" s="78">
        <f ca="1">MIN(0,-BZ114*LiabilityCF!CA22-SUM(CA105:CA107,CA109)/2*LiabilityCF!CA22)</f>
        <v>-94.559737218080343</v>
      </c>
      <c r="CB113" s="78">
        <f ca="1">MIN(0,-CA114*LiabilityCF!CB22-SUM(CB105:CB107,CB109)/2*LiabilityCF!CB22)</f>
        <v>-98.546759175519171</v>
      </c>
      <c r="CC113" s="78">
        <f ca="1">MIN(0,-CB114*LiabilityCF!CC22-SUM(CC105:CC107,CC109)/2*LiabilityCF!CC22)</f>
        <v>-102.49923304283078</v>
      </c>
      <c r="CD113" s="78">
        <f ca="1">MIN(0,-CC114*LiabilityCF!CD22-SUM(CD105:CD107,CD109)/2*LiabilityCF!CD22)</f>
        <v>-106.45065625921653</v>
      </c>
      <c r="CE113" s="78">
        <f ca="1">MIN(0,-CD114*LiabilityCF!CE22-SUM(CE105:CE107,CE109)/2*LiabilityCF!CE22)</f>
        <v>-110.53513193485036</v>
      </c>
      <c r="CF113" s="78">
        <f ca="1">MIN(0,-CE114*LiabilityCF!CF22-SUM(CF105:CF107,CF109)/2*LiabilityCF!CF22)</f>
        <v>-114.82112924838981</v>
      </c>
      <c r="CG113" s="78">
        <f ca="1">MIN(0,-CF114*LiabilityCF!CG22-SUM(CG105:CG107,CG109)/2*LiabilityCF!CG22)</f>
        <v>-119.41868116861053</v>
      </c>
      <c r="CH113" s="78">
        <f ca="1">MIN(0,-CG114*LiabilityCF!CH22-SUM(CH105:CH107,CH109)/2*LiabilityCF!CH22)</f>
        <v>-124.46725308185093</v>
      </c>
      <c r="CI113" s="78">
        <f ca="1">MIN(0,-CH114*LiabilityCF!CI22-SUM(CI105:CI107,CI109)/2*LiabilityCF!CI22)</f>
        <v>-130.15647026111455</v>
      </c>
      <c r="CJ113" s="78">
        <f ca="1">MIN(0,-CI114*LiabilityCF!CJ22-SUM(CJ105:CJ107,CJ109)/2*LiabilityCF!CJ22)</f>
        <v>-136.57305874727524</v>
      </c>
      <c r="CK113" s="78">
        <f ca="1">MIN(0,-CJ114*LiabilityCF!CK22-SUM(CK105:CK107,CK109)/2*LiabilityCF!CK22)</f>
        <v>-143.78735771419508</v>
      </c>
      <c r="CL113" s="78">
        <f ca="1">MIN(0,-CK114*LiabilityCF!CL22-SUM(CL105:CL107,CL109)/2*LiabilityCF!CL22)</f>
        <v>-151.80786207683667</v>
      </c>
      <c r="CM113" s="78">
        <f ca="1">MIN(0,-CL114*LiabilityCF!CM22-SUM(CM105:CM107,CM109)/2*LiabilityCF!CM22)</f>
        <v>-160.73442032556511</v>
      </c>
      <c r="CN113" s="78">
        <f ca="1">MIN(0,-CM114*LiabilityCF!CN22-SUM(CN105:CN107,CN109)/2*LiabilityCF!CN22)</f>
        <v>-170.58222766029959</v>
      </c>
      <c r="CO113" s="78">
        <f ca="1">MIN(0,-CN114*LiabilityCF!CO22-SUM(CO105:CO107,CO109)/2*LiabilityCF!CO22)</f>
        <v>-181.44967819739628</v>
      </c>
      <c r="CP113" s="78">
        <f ca="1">MIN(0,-CO114*LiabilityCF!CP22-SUM(CP105:CP107,CP109)/2*LiabilityCF!CP22)</f>
        <v>-193.28986166226326</v>
      </c>
      <c r="CQ113" s="78">
        <f ca="1">MIN(0,-CP114*LiabilityCF!CQ22-SUM(CQ105:CQ107,CQ109)/2*LiabilityCF!CQ22)</f>
        <v>-205.97014726355684</v>
      </c>
      <c r="CR113" s="78">
        <f ca="1">MIN(0,-CQ114*LiabilityCF!CR22-SUM(CR105:CR107,CR109)/2*LiabilityCF!CR22)</f>
        <v>-219.78405323963369</v>
      </c>
      <c r="CS113" s="78">
        <f ca="1">MIN(0,-CR114*LiabilityCF!CS22-SUM(CS105:CS107,CS109)/2*LiabilityCF!CS22)</f>
        <v>-235.20327437956507</v>
      </c>
      <c r="CT113" s="78">
        <f ca="1">MIN(0,-CS114*LiabilityCF!CT22-SUM(CT105:CT107,CT109)/2*LiabilityCF!CT22)</f>
        <v>-252.35191862911461</v>
      </c>
      <c r="CU113" s="78">
        <f ca="1">MIN(0,-CT114*LiabilityCF!CU22-SUM(CU105:CU107,CU109)/2*LiabilityCF!CU22)</f>
        <v>-271.71690981279403</v>
      </c>
      <c r="CV113" s="78">
        <f ca="1">MIN(0,-CU114*LiabilityCF!CV22-SUM(CV105:CV107,CV109)/2*LiabilityCF!CV22)</f>
        <v>-293.70687488971151</v>
      </c>
      <c r="CW113" s="78">
        <f ca="1">MIN(0,-CV114*LiabilityCF!CW22-SUM(CW105:CW107,CW109)/2*LiabilityCF!CW22)</f>
        <v>-318.4992550452896</v>
      </c>
      <c r="CX113" s="78">
        <f ca="1">MIN(0,-CW114*LiabilityCF!CX22-SUM(CX105:CX107,CX109)/2*LiabilityCF!CX22)</f>
        <v>-347.39691138674505</v>
      </c>
      <c r="CY113" s="78">
        <f ca="1">MIN(0,-CX114*LiabilityCF!CY22-SUM(CY105:CY107,CY109)/2*LiabilityCF!CY22)</f>
        <v>-380.18613277631835</v>
      </c>
      <c r="CZ113" s="78">
        <f ca="1">MIN(0,-CY114*LiabilityCF!CZ22-SUM(CZ105:CZ107,CZ109)/2*LiabilityCF!CZ22)</f>
        <v>-418.25420245939017</v>
      </c>
      <c r="DA113" s="78">
        <f ca="1">MIN(0,-CZ114*LiabilityCF!DA22-SUM(DA105:DA107,DA109)/2*LiabilityCF!DA22)</f>
        <v>0</v>
      </c>
      <c r="DB113" s="78">
        <f ca="1">MIN(0,-DA114*LiabilityCF!DB22-SUM(DB105:DB107,DB109)/2*LiabilityCF!DB22)</f>
        <v>0</v>
      </c>
      <c r="DC113" s="78">
        <f ca="1">MIN(0,-DB114*LiabilityCF!DC22-SUM(DC105:DC107,DC109)/2*LiabilityCF!DC22)</f>
        <v>0</v>
      </c>
      <c r="DD113" s="78">
        <f ca="1">MIN(0,-DC114*LiabilityCF!DD22-SUM(DD105:DD107,DD109)/2*LiabilityCF!DD22)</f>
        <v>0</v>
      </c>
      <c r="DE113" s="78">
        <f ca="1">MIN(0,-DD114*LiabilityCF!DE22-SUM(DE105:DE107,DE109)/2*LiabilityCF!DE22)</f>
        <v>0</v>
      </c>
      <c r="DF113" s="78">
        <f ca="1">MIN(0,-DE114*LiabilityCF!DF22-SUM(DF105:DF107,DF109)/2*LiabilityCF!DF22)</f>
        <v>0</v>
      </c>
      <c r="DG113" s="78">
        <f ca="1">MIN(0,-DF114*LiabilityCF!DG22-SUM(DG105:DG107,DG109)/2*LiabilityCF!DG22)</f>
        <v>0</v>
      </c>
      <c r="DH113" s="78">
        <f ca="1">MIN(0,-DG114*LiabilityCF!DH22-SUM(DH105:DH107,DH109)/2*LiabilityCF!DH22)</f>
        <v>0</v>
      </c>
      <c r="DI113" s="78">
        <f ca="1">MIN(0,-DH114*LiabilityCF!DI22-SUM(DI105:DI107,DI109)/2*LiabilityCF!DI22)</f>
        <v>0</v>
      </c>
      <c r="DJ113" s="78">
        <f ca="1">MIN(0,-DI114*LiabilityCF!DJ22-SUM(DJ105:DJ107,DJ109)/2*LiabilityCF!DJ22)</f>
        <v>0</v>
      </c>
      <c r="DK113" s="78">
        <f ca="1">MIN(0,-DJ114*LiabilityCF!DK22-SUM(DK105:DK107,DK109)/2*LiabilityCF!DK22)</f>
        <v>0</v>
      </c>
      <c r="DL113" s="78">
        <f ca="1">MIN(0,-DK114*LiabilityCF!DL22-SUM(DL105:DL107,DL109)/2*LiabilityCF!DL22)</f>
        <v>0</v>
      </c>
      <c r="DM113" s="78">
        <f ca="1">MIN(0,-DL114*LiabilityCF!DM22-SUM(DM105:DM107,DM109)/2*LiabilityCF!DM22)</f>
        <v>0</v>
      </c>
      <c r="DN113" s="78">
        <f ca="1">MIN(0,-DM114*LiabilityCF!DN22-SUM(DN105:DN107,DN109)/2*LiabilityCF!DN22)</f>
        <v>0</v>
      </c>
      <c r="DO113" s="78">
        <f ca="1">MIN(0,-DN114*LiabilityCF!DO22-SUM(DO105:DO107,DO109)/2*LiabilityCF!DO22)</f>
        <v>0</v>
      </c>
      <c r="DP113" s="78">
        <f ca="1">MIN(0,-DO114*LiabilityCF!DP22-SUM(DP105:DP107,DP109)/2*LiabilityCF!DP22)</f>
        <v>0</v>
      </c>
      <c r="DQ113" s="78">
        <f ca="1">MIN(0,-DP114*LiabilityCF!DQ22-SUM(DQ105:DQ107,DQ109)/2*LiabilityCF!DQ22)</f>
        <v>0</v>
      </c>
      <c r="DR113" s="78">
        <f ca="1">MIN(0,-DQ114*LiabilityCF!DR22-SUM(DR105:DR107,DR109)/2*LiabilityCF!DR22)</f>
        <v>0</v>
      </c>
      <c r="DS113" s="78">
        <f ca="1">MIN(0,-DR114*LiabilityCF!DS22-SUM(DS105:DS107,DS109)/2*LiabilityCF!DS22)</f>
        <v>0</v>
      </c>
      <c r="DT113" s="78">
        <f ca="1">MIN(0,-DS114*LiabilityCF!DT22-SUM(DT105:DT107,DT109)/2*LiabilityCF!DT22)</f>
        <v>0</v>
      </c>
      <c r="DU113" s="78">
        <f ca="1">MIN(0,-DT114*LiabilityCF!DU22-SUM(DU105:DU107,DU109)/2*LiabilityCF!DU22)</f>
        <v>0</v>
      </c>
      <c r="DV113" s="78">
        <f ca="1">MIN(0,-DU114*LiabilityCF!DV22-SUM(DV105:DV107,DV109)/2*LiabilityCF!DV22)</f>
        <v>0</v>
      </c>
      <c r="DW113" s="78">
        <f ca="1">MIN(0,-DV114*LiabilityCF!DW22-SUM(DW105:DW107,DW109)/2*LiabilityCF!DW22)</f>
        <v>0</v>
      </c>
      <c r="DX113" s="78">
        <f ca="1">MIN(0,-DW114*LiabilityCF!DX22-SUM(DX105:DX107,DX109)/2*LiabilityCF!DX22)</f>
        <v>0</v>
      </c>
      <c r="DY113" s="78">
        <f ca="1">MIN(0,-DX114*LiabilityCF!DY22-SUM(DY105:DY107,DY109)/2*LiabilityCF!DY22)</f>
        <v>0</v>
      </c>
      <c r="DZ113" s="78">
        <f ca="1">MIN(0,-DY114*LiabilityCF!DZ22-SUM(DZ105:DZ107,DZ109)/2*LiabilityCF!DZ22)</f>
        <v>0</v>
      </c>
      <c r="EA113" s="78">
        <f ca="1">MIN(0,-DZ114*LiabilityCF!EA22-SUM(EA105:EA107,EA109)/2*LiabilityCF!EA22)</f>
        <v>0</v>
      </c>
      <c r="EB113" s="78">
        <f ca="1">MIN(0,-EA114*LiabilityCF!EB22-SUM(EB105:EB107,EB109)/2*LiabilityCF!EB22)</f>
        <v>0</v>
      </c>
      <c r="EC113" s="78">
        <f ca="1">MIN(0,-EB114*LiabilityCF!EC22-SUM(EC105:EC107,EC109)/2*LiabilityCF!EC22)</f>
        <v>0</v>
      </c>
      <c r="ED113" s="78">
        <f ca="1">MIN(0,-EC114*LiabilityCF!ED22-SUM(ED105:ED107,ED109)/2*LiabilityCF!ED22)</f>
        <v>0</v>
      </c>
      <c r="EE113" s="78">
        <f ca="1">MIN(0,-ED114*LiabilityCF!EE22-SUM(EE105:EE107,EE109)/2*LiabilityCF!EE22)</f>
        <v>0</v>
      </c>
      <c r="EF113" s="78">
        <f ca="1">MIN(0,-EE114*LiabilityCF!EF22-SUM(EF105:EF107,EF109)/2*LiabilityCF!EF22)</f>
        <v>0</v>
      </c>
      <c r="EG113" s="78">
        <f ca="1">MIN(0,-EF114*LiabilityCF!EG22-SUM(EG105:EG107,EG109)/2*LiabilityCF!EG22)</f>
        <v>0</v>
      </c>
      <c r="EH113" s="78">
        <f ca="1">MIN(0,-EG114*LiabilityCF!EH22-SUM(EH105:EH107,EH109)/2*LiabilityCF!EH22)</f>
        <v>0</v>
      </c>
      <c r="EI113" s="78">
        <f ca="1">MIN(0,-EH114*LiabilityCF!EI22-SUM(EI105:EI107,EI109)/2*LiabilityCF!EI22)</f>
        <v>0</v>
      </c>
      <c r="EJ113" s="78">
        <f ca="1">MIN(0,-EI114*LiabilityCF!EJ22-SUM(EJ105:EJ107,EJ109)/2*LiabilityCF!EJ22)</f>
        <v>0</v>
      </c>
      <c r="EK113" s="78">
        <f ca="1">MIN(0,-EJ114*LiabilityCF!EK22-SUM(EK105:EK107,EK109)/2*LiabilityCF!EK22)</f>
        <v>0</v>
      </c>
      <c r="EL113" s="78">
        <f ca="1">MIN(0,-EK114*LiabilityCF!EL22-SUM(EL105:EL107,EL109)/2*LiabilityCF!EL22)</f>
        <v>0</v>
      </c>
    </row>
    <row r="114" spans="1:142" s="2" customFormat="1">
      <c r="B114" s="51" t="s">
        <v>55</v>
      </c>
      <c r="C114" s="69"/>
      <c r="D114" s="77">
        <f t="shared" ref="D114:AI114" ca="1" si="111">C114+SUM(D105:D107,D109,D112:D113)</f>
        <v>30.782349926907447</v>
      </c>
      <c r="E114" s="77">
        <f t="shared" ca="1" si="111"/>
        <v>128.47304147007864</v>
      </c>
      <c r="F114" s="77">
        <f t="shared" ca="1" si="111"/>
        <v>291.00221117034476</v>
      </c>
      <c r="G114" s="77">
        <f t="shared" ca="1" si="111"/>
        <v>525.29098485546058</v>
      </c>
      <c r="H114" s="77">
        <f t="shared" ca="1" si="111"/>
        <v>786.12050591978675</v>
      </c>
      <c r="I114" s="77">
        <f t="shared" ca="1" si="111"/>
        <v>989.71743689913978</v>
      </c>
      <c r="J114" s="77">
        <f t="shared" ca="1" si="111"/>
        <v>1143.8118310865045</v>
      </c>
      <c r="K114" s="77">
        <f t="shared" ca="1" si="111"/>
        <v>1224.6882645572289</v>
      </c>
      <c r="L114" s="77">
        <f t="shared" ca="1" si="111"/>
        <v>1240.1694155505359</v>
      </c>
      <c r="M114" s="77">
        <f t="shared" ca="1" si="111"/>
        <v>1238.5499506696926</v>
      </c>
      <c r="N114" s="77">
        <f t="shared" ca="1" si="111"/>
        <v>1236.0435607129646</v>
      </c>
      <c r="O114" s="77">
        <f t="shared" ca="1" si="111"/>
        <v>1249.6641982434553</v>
      </c>
      <c r="P114" s="77">
        <f t="shared" ca="1" si="111"/>
        <v>1276.1983975483195</v>
      </c>
      <c r="Q114" s="77">
        <f t="shared" ca="1" si="111"/>
        <v>1317.5875899429268</v>
      </c>
      <c r="R114" s="77">
        <f t="shared" ca="1" si="111"/>
        <v>1368.450336797544</v>
      </c>
      <c r="S114" s="77">
        <f t="shared" ca="1" si="111"/>
        <v>1422.2933804633719</v>
      </c>
      <c r="T114" s="77">
        <f t="shared" ca="1" si="111"/>
        <v>1478.3744713919837</v>
      </c>
      <c r="U114" s="77">
        <f t="shared" ca="1" si="111"/>
        <v>1536.7072035254703</v>
      </c>
      <c r="V114" s="77">
        <f t="shared" ca="1" si="111"/>
        <v>1597.2942999041034</v>
      </c>
      <c r="W114" s="77">
        <f t="shared" ca="1" si="111"/>
        <v>1660.1532422180362</v>
      </c>
      <c r="X114" s="77">
        <f t="shared" ca="1" si="111"/>
        <v>1724.8628388753395</v>
      </c>
      <c r="Y114" s="77">
        <f t="shared" ca="1" si="111"/>
        <v>1791.2642190290749</v>
      </c>
      <c r="Z114" s="77">
        <f t="shared" ca="1" si="111"/>
        <v>1859.2377688121669</v>
      </c>
      <c r="AA114" s="77">
        <f t="shared" ca="1" si="111"/>
        <v>1928.7179092763122</v>
      </c>
      <c r="AB114" s="77">
        <f t="shared" ca="1" si="111"/>
        <v>2000.1676506268559</v>
      </c>
      <c r="AC114" s="77">
        <f t="shared" ca="1" si="111"/>
        <v>2073.2464873862318</v>
      </c>
      <c r="AD114" s="77">
        <f t="shared" ca="1" si="111"/>
        <v>2147.8753983878501</v>
      </c>
      <c r="AE114" s="77">
        <f t="shared" ca="1" si="111"/>
        <v>2223.9355965647937</v>
      </c>
      <c r="AF114" s="77">
        <f t="shared" ca="1" si="111"/>
        <v>2301.2496140687208</v>
      </c>
      <c r="AG114" s="77">
        <f t="shared" ca="1" si="111"/>
        <v>2380.3794451143212</v>
      </c>
      <c r="AH114" s="77">
        <f t="shared" ca="1" si="111"/>
        <v>2461.0650647035563</v>
      </c>
      <c r="AI114" s="77">
        <f t="shared" ca="1" si="111"/>
        <v>2543.3148118857116</v>
      </c>
      <c r="AJ114" s="77">
        <f t="shared" ref="AJ114:BO114" ca="1" si="112">AI114+SUM(AJ105:AJ107,AJ109,AJ112:AJ113)</f>
        <v>2627.8514783810524</v>
      </c>
      <c r="AK114" s="77">
        <f t="shared" ca="1" si="112"/>
        <v>2714.8215383886877</v>
      </c>
      <c r="AL114" s="77">
        <f t="shared" ca="1" si="112"/>
        <v>2804.9845897676964</v>
      </c>
      <c r="AM114" s="77">
        <f t="shared" ca="1" si="112"/>
        <v>2898.7320987257972</v>
      </c>
      <c r="AN114" s="77">
        <f t="shared" ca="1" si="112"/>
        <v>2996.3342458140514</v>
      </c>
      <c r="AO114" s="77">
        <f t="shared" ca="1" si="112"/>
        <v>3098.0879264206451</v>
      </c>
      <c r="AP114" s="77">
        <f t="shared" ca="1" si="112"/>
        <v>3204.3226104676146</v>
      </c>
      <c r="AQ114" s="77">
        <f t="shared" ca="1" si="112"/>
        <v>3315.4854396572018</v>
      </c>
      <c r="AR114" s="77">
        <f t="shared" ca="1" si="112"/>
        <v>3431.9616619625904</v>
      </c>
      <c r="AS114" s="77">
        <f t="shared" ca="1" si="112"/>
        <v>3554.2998177029558</v>
      </c>
      <c r="AT114" s="77">
        <f t="shared" ca="1" si="112"/>
        <v>3682.5387339571357</v>
      </c>
      <c r="AU114" s="77">
        <f t="shared" ca="1" si="112"/>
        <v>3817.3402391472482</v>
      </c>
      <c r="AV114" s="77">
        <f t="shared" ca="1" si="112"/>
        <v>3959.5524676319747</v>
      </c>
      <c r="AW114" s="77">
        <f t="shared" ca="1" si="112"/>
        <v>4109.9689518607338</v>
      </c>
      <c r="AX114" s="77">
        <f t="shared" ca="1" si="112"/>
        <v>4269.4788031373155</v>
      </c>
      <c r="AY114" s="77">
        <f t="shared" ca="1" si="112"/>
        <v>4439.0516778286865</v>
      </c>
      <c r="AZ114" s="77">
        <f t="shared" ca="1" si="112"/>
        <v>4619.7132283257615</v>
      </c>
      <c r="BA114" s="77">
        <f t="shared" ca="1" si="112"/>
        <v>4812.6010476054453</v>
      </c>
      <c r="BB114" s="77">
        <f t="shared" ca="1" si="112"/>
        <v>5018.9285013542121</v>
      </c>
      <c r="BC114" s="77">
        <f t="shared" ca="1" si="112"/>
        <v>5239.9267377467741</v>
      </c>
      <c r="BD114" s="77">
        <f t="shared" ca="1" si="112"/>
        <v>5476.8208498531694</v>
      </c>
      <c r="BE114" s="77">
        <f t="shared" ca="1" si="112"/>
        <v>5730.8335264206198</v>
      </c>
      <c r="BF114" s="77">
        <f t="shared" ca="1" si="112"/>
        <v>6003.2950787135342</v>
      </c>
      <c r="BG114" s="77">
        <f t="shared" ca="1" si="112"/>
        <v>6295.7815952735418</v>
      </c>
      <c r="BH114" s="77">
        <f t="shared" ca="1" si="112"/>
        <v>6610.0001112516493</v>
      </c>
      <c r="BI114" s="77">
        <f t="shared" ca="1" si="112"/>
        <v>6947.8513605941389</v>
      </c>
      <c r="BJ114" s="77">
        <f t="shared" ca="1" si="112"/>
        <v>7311.3233637115654</v>
      </c>
      <c r="BK114" s="77">
        <f t="shared" ca="1" si="112"/>
        <v>7702.4702646288479</v>
      </c>
      <c r="BL114" s="77">
        <f t="shared" ca="1" si="112"/>
        <v>8123.5357954350238</v>
      </c>
      <c r="BM114" s="77">
        <f t="shared" ca="1" si="112"/>
        <v>8576.8966490369203</v>
      </c>
      <c r="BN114" s="77">
        <f t="shared" ca="1" si="112"/>
        <v>9065.0981022254655</v>
      </c>
      <c r="BO114" s="77">
        <f t="shared" ca="1" si="112"/>
        <v>9590.8511399216732</v>
      </c>
      <c r="BP114" s="77">
        <f t="shared" ref="BP114:CU114" ca="1" si="113">BO114+SUM(BP105:BP107,BP109,BP112:BP113)</f>
        <v>10156.999535325609</v>
      </c>
      <c r="BQ114" s="77">
        <f t="shared" ca="1" si="113"/>
        <v>10766.624743990895</v>
      </c>
      <c r="BR114" s="77">
        <f t="shared" ca="1" si="113"/>
        <v>11422.996093961172</v>
      </c>
      <c r="BS114" s="77">
        <f t="shared" ca="1" si="113"/>
        <v>12129.558806042918</v>
      </c>
      <c r="BT114" s="77">
        <f t="shared" ca="1" si="113"/>
        <v>12889.972302609172</v>
      </c>
      <c r="BU114" s="77">
        <f t="shared" ca="1" si="113"/>
        <v>13708.009647890241</v>
      </c>
      <c r="BV114" s="77">
        <f t="shared" ca="1" si="113"/>
        <v>14587.442275877109</v>
      </c>
      <c r="BW114" s="77">
        <f t="shared" ca="1" si="113"/>
        <v>15532.27763637321</v>
      </c>
      <c r="BX114" s="77">
        <f t="shared" ca="1" si="113"/>
        <v>16546.767033194054</v>
      </c>
      <c r="BY114" s="77">
        <f t="shared" ca="1" si="113"/>
        <v>17635.429212066647</v>
      </c>
      <c r="BZ114" s="77">
        <f t="shared" ca="1" si="113"/>
        <v>18803.158460363949</v>
      </c>
      <c r="CA114" s="77">
        <f t="shared" ca="1" si="113"/>
        <v>20055.223847679128</v>
      </c>
      <c r="CB114" s="77">
        <f t="shared" ca="1" si="113"/>
        <v>21397.420973275774</v>
      </c>
      <c r="CC114" s="77">
        <f t="shared" ca="1" si="113"/>
        <v>22836.127009930475</v>
      </c>
      <c r="CD114" s="77">
        <f t="shared" ca="1" si="113"/>
        <v>24378.224597871191</v>
      </c>
      <c r="CE114" s="77">
        <f t="shared" ca="1" si="113"/>
        <v>26031.282044877178</v>
      </c>
      <c r="CF114" s="77">
        <f t="shared" ca="1" si="113"/>
        <v>27803.326510303898</v>
      </c>
      <c r="CG114" s="77">
        <f t="shared" ca="1" si="113"/>
        <v>29703.138283483309</v>
      </c>
      <c r="CH114" s="77">
        <f t="shared" ca="1" si="113"/>
        <v>31740.072994308648</v>
      </c>
      <c r="CI114" s="77">
        <f t="shared" ca="1" si="113"/>
        <v>33923.862938334663</v>
      </c>
      <c r="CJ114" s="77">
        <f t="shared" ca="1" si="113"/>
        <v>36265.152309629157</v>
      </c>
      <c r="CK114" s="77">
        <f t="shared" ca="1" si="113"/>
        <v>38775.019681779304</v>
      </c>
      <c r="CL114" s="77">
        <f t="shared" ca="1" si="113"/>
        <v>41465.732592927154</v>
      </c>
      <c r="CM114" s="77">
        <f t="shared" ca="1" si="113"/>
        <v>44350.531260111304</v>
      </c>
      <c r="CN114" s="77">
        <f t="shared" ca="1" si="113"/>
        <v>47443.731294188576</v>
      </c>
      <c r="CO114" s="77">
        <f t="shared" ca="1" si="113"/>
        <v>50761.097048404466</v>
      </c>
      <c r="CP114" s="77">
        <f t="shared" ca="1" si="113"/>
        <v>54319.54639396866</v>
      </c>
      <c r="CQ114" s="77">
        <f t="shared" ca="1" si="113"/>
        <v>58137.723675883186</v>
      </c>
      <c r="CR114" s="77">
        <f t="shared" ca="1" si="113"/>
        <v>62235.513476888744</v>
      </c>
      <c r="CS114" s="77">
        <f t="shared" ca="1" si="113"/>
        <v>66633.415581986337</v>
      </c>
      <c r="CT114" s="77">
        <f t="shared" ca="1" si="113"/>
        <v>71353.726623296097</v>
      </c>
      <c r="CU114" s="77">
        <f t="shared" ca="1" si="113"/>
        <v>76419.240725721203</v>
      </c>
      <c r="CV114" s="77">
        <f t="shared" ref="CV114:EA114" ca="1" si="114">CU114+SUM(CV105:CV107,CV109,CV112:CV113)</f>
        <v>81853.837492877195</v>
      </c>
      <c r="CW114" s="77">
        <f t="shared" ca="1" si="114"/>
        <v>87682.881190549175</v>
      </c>
      <c r="CX114" s="77">
        <f t="shared" ca="1" si="114"/>
        <v>93931.692668268573</v>
      </c>
      <c r="CY114" s="77">
        <f t="shared" ca="1" si="114"/>
        <v>100627.74332676467</v>
      </c>
      <c r="CZ114" s="77">
        <f t="shared" ca="1" si="114"/>
        <v>107798.25261748374</v>
      </c>
      <c r="DA114" s="77">
        <f t="shared" ca="1" si="114"/>
        <v>107798.25261748374</v>
      </c>
      <c r="DB114" s="77">
        <f t="shared" ca="1" si="114"/>
        <v>107798.25261748374</v>
      </c>
      <c r="DC114" s="77">
        <f t="shared" ca="1" si="114"/>
        <v>107798.25261748374</v>
      </c>
      <c r="DD114" s="77">
        <f t="shared" ca="1" si="114"/>
        <v>107798.25261748374</v>
      </c>
      <c r="DE114" s="77">
        <f t="shared" ca="1" si="114"/>
        <v>107798.25261748374</v>
      </c>
      <c r="DF114" s="77">
        <f t="shared" ca="1" si="114"/>
        <v>107798.25261748374</v>
      </c>
      <c r="DG114" s="77">
        <f t="shared" ca="1" si="114"/>
        <v>107798.25261748374</v>
      </c>
      <c r="DH114" s="77">
        <f t="shared" ca="1" si="114"/>
        <v>107798.25261748374</v>
      </c>
      <c r="DI114" s="77">
        <f t="shared" ca="1" si="114"/>
        <v>107798.25261748374</v>
      </c>
      <c r="DJ114" s="77">
        <f t="shared" ca="1" si="114"/>
        <v>107798.25261748374</v>
      </c>
      <c r="DK114" s="77">
        <f t="shared" ca="1" si="114"/>
        <v>107798.25261748374</v>
      </c>
      <c r="DL114" s="77">
        <f t="shared" ca="1" si="114"/>
        <v>107798.25261748374</v>
      </c>
      <c r="DM114" s="77">
        <f t="shared" ca="1" si="114"/>
        <v>107798.25261748374</v>
      </c>
      <c r="DN114" s="77">
        <f t="shared" ca="1" si="114"/>
        <v>107798.25261748374</v>
      </c>
      <c r="DO114" s="77">
        <f t="shared" ca="1" si="114"/>
        <v>107798.25261748374</v>
      </c>
      <c r="DP114" s="77">
        <f t="shared" ca="1" si="114"/>
        <v>107798.25261748374</v>
      </c>
      <c r="DQ114" s="77">
        <f t="shared" ca="1" si="114"/>
        <v>107798.25261748374</v>
      </c>
      <c r="DR114" s="77">
        <f t="shared" ca="1" si="114"/>
        <v>107798.25261748374</v>
      </c>
      <c r="DS114" s="77">
        <f t="shared" ca="1" si="114"/>
        <v>107798.25261748374</v>
      </c>
      <c r="DT114" s="77">
        <f t="shared" ca="1" si="114"/>
        <v>107798.25261748374</v>
      </c>
      <c r="DU114" s="77">
        <f t="shared" ca="1" si="114"/>
        <v>107798.25261748374</v>
      </c>
      <c r="DV114" s="77">
        <f t="shared" ca="1" si="114"/>
        <v>107798.25261748374</v>
      </c>
      <c r="DW114" s="77">
        <f t="shared" ca="1" si="114"/>
        <v>107798.25261748374</v>
      </c>
      <c r="DX114" s="77">
        <f t="shared" ca="1" si="114"/>
        <v>107798.25261748374</v>
      </c>
      <c r="DY114" s="77">
        <f t="shared" ca="1" si="114"/>
        <v>107798.25261748374</v>
      </c>
      <c r="DZ114" s="77">
        <f t="shared" ca="1" si="114"/>
        <v>107798.25261748374</v>
      </c>
      <c r="EA114" s="77">
        <f t="shared" ca="1" si="114"/>
        <v>107798.25261748374</v>
      </c>
      <c r="EB114" s="77">
        <f t="shared" ref="EB114:EL114" ca="1" si="115">EA114+SUM(EB105:EB107,EB109,EB112:EB113)</f>
        <v>107798.25261748374</v>
      </c>
      <c r="EC114" s="77">
        <f t="shared" ca="1" si="115"/>
        <v>107798.25261748374</v>
      </c>
      <c r="ED114" s="77">
        <f t="shared" ca="1" si="115"/>
        <v>107798.25261748374</v>
      </c>
      <c r="EE114" s="77">
        <f t="shared" ca="1" si="115"/>
        <v>107798.25261748374</v>
      </c>
      <c r="EF114" s="77">
        <f t="shared" ca="1" si="115"/>
        <v>107798.25261748374</v>
      </c>
      <c r="EG114" s="77">
        <f t="shared" ca="1" si="115"/>
        <v>107798.25261748374</v>
      </c>
      <c r="EH114" s="77">
        <f t="shared" ca="1" si="115"/>
        <v>107798.25261748374</v>
      </c>
      <c r="EI114" s="77">
        <f t="shared" ca="1" si="115"/>
        <v>107798.25261748374</v>
      </c>
      <c r="EJ114" s="77">
        <f t="shared" ca="1" si="115"/>
        <v>107798.25261748374</v>
      </c>
      <c r="EK114" s="77">
        <f t="shared" ca="1" si="115"/>
        <v>107798.25261748374</v>
      </c>
      <c r="EL114" s="77">
        <f t="shared" ca="1" si="115"/>
        <v>107798.25261748374</v>
      </c>
    </row>
    <row r="115" spans="1:142" s="2" customFormat="1">
      <c r="D115" s="3"/>
      <c r="E115" s="17"/>
      <c r="F115" s="76"/>
      <c r="G115" s="3"/>
    </row>
    <row r="116" spans="1:142" s="2" customFormat="1">
      <c r="B116" s="28" t="s">
        <v>54</v>
      </c>
      <c r="D116" s="3"/>
      <c r="E116" s="17"/>
      <c r="F116" s="76"/>
      <c r="G116" s="3"/>
    </row>
    <row r="117" spans="1:142" s="2" customFormat="1">
      <c r="B117" s="44" t="s">
        <v>24</v>
      </c>
      <c r="C117" s="44">
        <f t="shared" ref="C117:AH117" si="116">C104</f>
        <v>0</v>
      </c>
      <c r="D117" s="44">
        <f t="shared" si="116"/>
        <v>1</v>
      </c>
      <c r="E117" s="44">
        <f t="shared" si="116"/>
        <v>2</v>
      </c>
      <c r="F117" s="44">
        <f t="shared" si="116"/>
        <v>3</v>
      </c>
      <c r="G117" s="44">
        <f t="shared" si="116"/>
        <v>4</v>
      </c>
      <c r="H117" s="44">
        <f t="shared" si="116"/>
        <v>5</v>
      </c>
      <c r="I117" s="44">
        <f t="shared" si="116"/>
        <v>6</v>
      </c>
      <c r="J117" s="44">
        <f t="shared" si="116"/>
        <v>7</v>
      </c>
      <c r="K117" s="44">
        <f t="shared" si="116"/>
        <v>8</v>
      </c>
      <c r="L117" s="44">
        <f t="shared" si="116"/>
        <v>9</v>
      </c>
      <c r="M117" s="44">
        <f t="shared" si="116"/>
        <v>10</v>
      </c>
      <c r="N117" s="44">
        <f t="shared" si="116"/>
        <v>11</v>
      </c>
      <c r="O117" s="44">
        <f t="shared" si="116"/>
        <v>12</v>
      </c>
      <c r="P117" s="44">
        <f t="shared" si="116"/>
        <v>13</v>
      </c>
      <c r="Q117" s="44">
        <f t="shared" si="116"/>
        <v>14</v>
      </c>
      <c r="R117" s="44">
        <f t="shared" si="116"/>
        <v>15</v>
      </c>
      <c r="S117" s="44">
        <f t="shared" si="116"/>
        <v>16</v>
      </c>
      <c r="T117" s="44">
        <f t="shared" si="116"/>
        <v>17</v>
      </c>
      <c r="U117" s="44">
        <f t="shared" si="116"/>
        <v>18</v>
      </c>
      <c r="V117" s="44">
        <f t="shared" si="116"/>
        <v>19</v>
      </c>
      <c r="W117" s="44">
        <f t="shared" si="116"/>
        <v>20</v>
      </c>
      <c r="X117" s="44">
        <f t="shared" si="116"/>
        <v>21</v>
      </c>
      <c r="Y117" s="44">
        <f t="shared" si="116"/>
        <v>22</v>
      </c>
      <c r="Z117" s="44">
        <f t="shared" si="116"/>
        <v>23</v>
      </c>
      <c r="AA117" s="44">
        <f t="shared" si="116"/>
        <v>24</v>
      </c>
      <c r="AB117" s="44">
        <f t="shared" si="116"/>
        <v>25</v>
      </c>
      <c r="AC117" s="44">
        <f t="shared" si="116"/>
        <v>26</v>
      </c>
      <c r="AD117" s="44">
        <f t="shared" si="116"/>
        <v>27</v>
      </c>
      <c r="AE117" s="44">
        <f t="shared" si="116"/>
        <v>28</v>
      </c>
      <c r="AF117" s="44">
        <f t="shared" si="116"/>
        <v>29</v>
      </c>
      <c r="AG117" s="44">
        <f t="shared" si="116"/>
        <v>30</v>
      </c>
      <c r="AH117" s="44">
        <f t="shared" si="116"/>
        <v>31</v>
      </c>
      <c r="AI117" s="44">
        <f t="shared" ref="AI117:BN117" si="117">AI104</f>
        <v>32</v>
      </c>
      <c r="AJ117" s="44">
        <f t="shared" si="117"/>
        <v>33</v>
      </c>
      <c r="AK117" s="44">
        <f t="shared" si="117"/>
        <v>34</v>
      </c>
      <c r="AL117" s="44">
        <f t="shared" si="117"/>
        <v>35</v>
      </c>
      <c r="AM117" s="44">
        <f t="shared" si="117"/>
        <v>36</v>
      </c>
      <c r="AN117" s="44">
        <f t="shared" si="117"/>
        <v>37</v>
      </c>
      <c r="AO117" s="44">
        <f t="shared" si="117"/>
        <v>38</v>
      </c>
      <c r="AP117" s="44">
        <f t="shared" si="117"/>
        <v>39</v>
      </c>
      <c r="AQ117" s="44">
        <f t="shared" si="117"/>
        <v>40</v>
      </c>
      <c r="AR117" s="44">
        <f t="shared" si="117"/>
        <v>41</v>
      </c>
      <c r="AS117" s="44">
        <f t="shared" si="117"/>
        <v>42</v>
      </c>
      <c r="AT117" s="44">
        <f t="shared" si="117"/>
        <v>43</v>
      </c>
      <c r="AU117" s="44">
        <f t="shared" si="117"/>
        <v>44</v>
      </c>
      <c r="AV117" s="44">
        <f t="shared" si="117"/>
        <v>45</v>
      </c>
      <c r="AW117" s="44">
        <f t="shared" si="117"/>
        <v>46</v>
      </c>
      <c r="AX117" s="44">
        <f t="shared" si="117"/>
        <v>47</v>
      </c>
      <c r="AY117" s="44">
        <f t="shared" si="117"/>
        <v>48</v>
      </c>
      <c r="AZ117" s="44">
        <f t="shared" si="117"/>
        <v>49</v>
      </c>
      <c r="BA117" s="44">
        <f t="shared" si="117"/>
        <v>50</v>
      </c>
      <c r="BB117" s="44">
        <f t="shared" si="117"/>
        <v>51</v>
      </c>
      <c r="BC117" s="44">
        <f t="shared" si="117"/>
        <v>52</v>
      </c>
      <c r="BD117" s="44">
        <f t="shared" si="117"/>
        <v>53</v>
      </c>
      <c r="BE117" s="44">
        <f t="shared" si="117"/>
        <v>54</v>
      </c>
      <c r="BF117" s="44">
        <f t="shared" si="117"/>
        <v>55</v>
      </c>
      <c r="BG117" s="44">
        <f t="shared" si="117"/>
        <v>56</v>
      </c>
      <c r="BH117" s="44">
        <f t="shared" si="117"/>
        <v>57</v>
      </c>
      <c r="BI117" s="44">
        <f t="shared" si="117"/>
        <v>58</v>
      </c>
      <c r="BJ117" s="44">
        <f t="shared" si="117"/>
        <v>59</v>
      </c>
      <c r="BK117" s="44">
        <f t="shared" si="117"/>
        <v>60</v>
      </c>
      <c r="BL117" s="44">
        <f t="shared" si="117"/>
        <v>61</v>
      </c>
      <c r="BM117" s="44">
        <f t="shared" si="117"/>
        <v>62</v>
      </c>
      <c r="BN117" s="44">
        <f t="shared" si="117"/>
        <v>63</v>
      </c>
      <c r="BO117" s="44">
        <f t="shared" ref="BO117:CT117" si="118">BO104</f>
        <v>64</v>
      </c>
      <c r="BP117" s="44">
        <f t="shared" si="118"/>
        <v>65</v>
      </c>
      <c r="BQ117" s="44">
        <f t="shared" si="118"/>
        <v>66</v>
      </c>
      <c r="BR117" s="44">
        <f t="shared" si="118"/>
        <v>67</v>
      </c>
      <c r="BS117" s="44">
        <f t="shared" si="118"/>
        <v>68</v>
      </c>
      <c r="BT117" s="44">
        <f t="shared" si="118"/>
        <v>69</v>
      </c>
      <c r="BU117" s="44">
        <f t="shared" si="118"/>
        <v>70</v>
      </c>
      <c r="BV117" s="44">
        <f t="shared" si="118"/>
        <v>71</v>
      </c>
      <c r="BW117" s="44">
        <f t="shared" si="118"/>
        <v>72</v>
      </c>
      <c r="BX117" s="44">
        <f t="shared" si="118"/>
        <v>73</v>
      </c>
      <c r="BY117" s="44">
        <f t="shared" si="118"/>
        <v>74</v>
      </c>
      <c r="BZ117" s="44">
        <f t="shared" si="118"/>
        <v>75</v>
      </c>
      <c r="CA117" s="44">
        <f t="shared" si="118"/>
        <v>76</v>
      </c>
      <c r="CB117" s="44">
        <f t="shared" si="118"/>
        <v>77</v>
      </c>
      <c r="CC117" s="44">
        <f t="shared" si="118"/>
        <v>78</v>
      </c>
      <c r="CD117" s="44">
        <f t="shared" si="118"/>
        <v>79</v>
      </c>
      <c r="CE117" s="44">
        <f t="shared" si="118"/>
        <v>80</v>
      </c>
      <c r="CF117" s="44">
        <f t="shared" si="118"/>
        <v>81</v>
      </c>
      <c r="CG117" s="44">
        <f t="shared" si="118"/>
        <v>82</v>
      </c>
      <c r="CH117" s="44">
        <f t="shared" si="118"/>
        <v>83</v>
      </c>
      <c r="CI117" s="44">
        <f t="shared" si="118"/>
        <v>84</v>
      </c>
      <c r="CJ117" s="44">
        <f t="shared" si="118"/>
        <v>85</v>
      </c>
      <c r="CK117" s="44">
        <f t="shared" si="118"/>
        <v>86</v>
      </c>
      <c r="CL117" s="44">
        <f t="shared" si="118"/>
        <v>87</v>
      </c>
      <c r="CM117" s="44">
        <f t="shared" si="118"/>
        <v>88</v>
      </c>
      <c r="CN117" s="44">
        <f t="shared" si="118"/>
        <v>89</v>
      </c>
      <c r="CO117" s="44">
        <f t="shared" si="118"/>
        <v>90</v>
      </c>
      <c r="CP117" s="44">
        <f t="shared" si="118"/>
        <v>91</v>
      </c>
      <c r="CQ117" s="44">
        <f t="shared" si="118"/>
        <v>92</v>
      </c>
      <c r="CR117" s="44">
        <f t="shared" si="118"/>
        <v>93</v>
      </c>
      <c r="CS117" s="44">
        <f t="shared" si="118"/>
        <v>94</v>
      </c>
      <c r="CT117" s="44">
        <f t="shared" si="118"/>
        <v>95</v>
      </c>
      <c r="CU117" s="44">
        <f t="shared" ref="CU117:DZ117" si="119">CU104</f>
        <v>96</v>
      </c>
      <c r="CV117" s="44">
        <f t="shared" si="119"/>
        <v>97</v>
      </c>
      <c r="CW117" s="44">
        <f t="shared" si="119"/>
        <v>98</v>
      </c>
      <c r="CX117" s="44">
        <f t="shared" si="119"/>
        <v>99</v>
      </c>
      <c r="CY117" s="44">
        <f t="shared" si="119"/>
        <v>100</v>
      </c>
      <c r="CZ117" s="44">
        <f t="shared" si="119"/>
        <v>101</v>
      </c>
      <c r="DA117" s="44">
        <f t="shared" si="119"/>
        <v>102</v>
      </c>
      <c r="DB117" s="44">
        <f t="shared" si="119"/>
        <v>103</v>
      </c>
      <c r="DC117" s="44">
        <f t="shared" si="119"/>
        <v>104</v>
      </c>
      <c r="DD117" s="44">
        <f t="shared" si="119"/>
        <v>105</v>
      </c>
      <c r="DE117" s="44">
        <f t="shared" si="119"/>
        <v>106</v>
      </c>
      <c r="DF117" s="44">
        <f t="shared" si="119"/>
        <v>107</v>
      </c>
      <c r="DG117" s="44">
        <f t="shared" si="119"/>
        <v>108</v>
      </c>
      <c r="DH117" s="44">
        <f t="shared" si="119"/>
        <v>109</v>
      </c>
      <c r="DI117" s="44">
        <f t="shared" si="119"/>
        <v>110</v>
      </c>
      <c r="DJ117" s="44">
        <f t="shared" si="119"/>
        <v>111</v>
      </c>
      <c r="DK117" s="44">
        <f t="shared" si="119"/>
        <v>112</v>
      </c>
      <c r="DL117" s="44">
        <f t="shared" si="119"/>
        <v>113</v>
      </c>
      <c r="DM117" s="44">
        <f t="shared" si="119"/>
        <v>114</v>
      </c>
      <c r="DN117" s="44">
        <f t="shared" si="119"/>
        <v>115</v>
      </c>
      <c r="DO117" s="44">
        <f t="shared" si="119"/>
        <v>116</v>
      </c>
      <c r="DP117" s="44">
        <f t="shared" si="119"/>
        <v>117</v>
      </c>
      <c r="DQ117" s="44">
        <f t="shared" si="119"/>
        <v>118</v>
      </c>
      <c r="DR117" s="44">
        <f t="shared" si="119"/>
        <v>119</v>
      </c>
      <c r="DS117" s="44">
        <f t="shared" si="119"/>
        <v>120</v>
      </c>
      <c r="DT117" s="44">
        <f t="shared" si="119"/>
        <v>121</v>
      </c>
      <c r="DU117" s="44">
        <f t="shared" si="119"/>
        <v>122</v>
      </c>
      <c r="DV117" s="44">
        <f t="shared" si="119"/>
        <v>123</v>
      </c>
      <c r="DW117" s="44">
        <f t="shared" si="119"/>
        <v>124</v>
      </c>
      <c r="DX117" s="44">
        <f t="shared" si="119"/>
        <v>125</v>
      </c>
      <c r="DY117" s="44">
        <f t="shared" si="119"/>
        <v>126</v>
      </c>
      <c r="DZ117" s="44">
        <f t="shared" si="119"/>
        <v>127</v>
      </c>
      <c r="EA117" s="44">
        <f t="shared" ref="EA117:EL117" si="120">EA104</f>
        <v>128</v>
      </c>
      <c r="EB117" s="44">
        <f t="shared" si="120"/>
        <v>129</v>
      </c>
      <c r="EC117" s="44">
        <f t="shared" si="120"/>
        <v>130</v>
      </c>
      <c r="ED117" s="44">
        <f t="shared" si="120"/>
        <v>131</v>
      </c>
      <c r="EE117" s="44">
        <f t="shared" si="120"/>
        <v>132</v>
      </c>
      <c r="EF117" s="44">
        <f t="shared" si="120"/>
        <v>133</v>
      </c>
      <c r="EG117" s="44">
        <f t="shared" si="120"/>
        <v>134</v>
      </c>
      <c r="EH117" s="44">
        <f t="shared" si="120"/>
        <v>135</v>
      </c>
      <c r="EI117" s="44">
        <f t="shared" si="120"/>
        <v>136</v>
      </c>
      <c r="EJ117" s="44">
        <f t="shared" si="120"/>
        <v>137</v>
      </c>
      <c r="EK117" s="44">
        <f t="shared" si="120"/>
        <v>138</v>
      </c>
      <c r="EL117" s="44">
        <f t="shared" si="120"/>
        <v>139</v>
      </c>
    </row>
    <row r="118" spans="1:142" s="2" customFormat="1">
      <c r="B118" s="51" t="s">
        <v>53</v>
      </c>
      <c r="C118" s="69">
        <f t="shared" ref="C118:AH118" ca="1" si="121">C98+C111</f>
        <v>332.49053302727589</v>
      </c>
      <c r="D118" s="69">
        <f t="shared" ca="1" si="121"/>
        <v>528.11726856983375</v>
      </c>
      <c r="E118" s="69">
        <f t="shared" ca="1" si="121"/>
        <v>740.36638314528693</v>
      </c>
      <c r="F118" s="69">
        <f t="shared" ca="1" si="121"/>
        <v>992.08994161882151</v>
      </c>
      <c r="G118" s="69">
        <f t="shared" ca="1" si="121"/>
        <v>1282.3700434653852</v>
      </c>
      <c r="H118" s="69">
        <f t="shared" ca="1" si="121"/>
        <v>1559.4139923073094</v>
      </c>
      <c r="I118" s="69">
        <f t="shared" ca="1" si="121"/>
        <v>1762.9114343509555</v>
      </c>
      <c r="J118" s="69">
        <f t="shared" ca="1" si="121"/>
        <v>1909.109931378295</v>
      </c>
      <c r="K118" s="69">
        <f t="shared" ca="1" si="121"/>
        <v>1987.5017841409151</v>
      </c>
      <c r="L118" s="69">
        <f t="shared" ca="1" si="121"/>
        <v>2009.6421569805232</v>
      </c>
      <c r="M118" s="69">
        <f t="shared" ca="1" si="121"/>
        <v>2028.2499446751881</v>
      </c>
      <c r="N118" s="69">
        <f t="shared" ca="1" si="121"/>
        <v>2054.6881651515928</v>
      </c>
      <c r="O118" s="69">
        <f t="shared" ca="1" si="121"/>
        <v>2101.6140292316418</v>
      </c>
      <c r="P118" s="69">
        <f t="shared" ca="1" si="121"/>
        <v>2163.470282937792</v>
      </c>
      <c r="Q118" s="69">
        <f t="shared" ca="1" si="121"/>
        <v>2241.613880056012</v>
      </c>
      <c r="R118" s="69">
        <f t="shared" ca="1" si="121"/>
        <v>2330.4076991235734</v>
      </c>
      <c r="S118" s="69">
        <f t="shared" ca="1" si="121"/>
        <v>2421.1176028098735</v>
      </c>
      <c r="T118" s="69">
        <f t="shared" ca="1" si="121"/>
        <v>2513.4804307477075</v>
      </c>
      <c r="U118" s="69">
        <f t="shared" ca="1" si="121"/>
        <v>2608.6220805978983</v>
      </c>
      <c r="V118" s="69">
        <f t="shared" ca="1" si="121"/>
        <v>2706.4416497832844</v>
      </c>
      <c r="W118" s="69">
        <f t="shared" ca="1" si="121"/>
        <v>2806.7326477004922</v>
      </c>
      <c r="X118" s="69">
        <f t="shared" ca="1" si="121"/>
        <v>2908.8973008847461</v>
      </c>
      <c r="Y118" s="69">
        <f t="shared" ca="1" si="121"/>
        <v>3012.5910247264746</v>
      </c>
      <c r="Z118" s="69">
        <f t="shared" ca="1" si="121"/>
        <v>3117.678425829934</v>
      </c>
      <c r="AA118" s="69">
        <f t="shared" ca="1" si="121"/>
        <v>3224.0840799101156</v>
      </c>
      <c r="AB118" s="69">
        <f t="shared" ca="1" si="121"/>
        <v>3331.7131135189065</v>
      </c>
      <c r="AC118" s="69">
        <f t="shared" ca="1" si="121"/>
        <v>3440.4647940946188</v>
      </c>
      <c r="AD118" s="69">
        <f t="shared" ca="1" si="121"/>
        <v>3550.5492584593494</v>
      </c>
      <c r="AE118" s="69">
        <f t="shared" ca="1" si="121"/>
        <v>3662.0203170738869</v>
      </c>
      <c r="AF118" s="69">
        <f t="shared" ca="1" si="121"/>
        <v>3774.8447527789849</v>
      </c>
      <c r="AG118" s="69">
        <f t="shared" ca="1" si="121"/>
        <v>3889.5303139763882</v>
      </c>
      <c r="AH118" s="69">
        <f t="shared" ca="1" si="121"/>
        <v>4006.2348797611212</v>
      </c>
      <c r="AI118" s="69">
        <f t="shared" ref="AI118:BN118" ca="1" si="122">AI98+AI111</f>
        <v>4124.8427237660708</v>
      </c>
      <c r="AJ118" s="69">
        <f t="shared" ca="1" si="122"/>
        <v>4246.5925632349554</v>
      </c>
      <c r="AK118" s="69">
        <f t="shared" ca="1" si="122"/>
        <v>4371.9492671461003</v>
      </c>
      <c r="AL118" s="69">
        <f t="shared" ca="1" si="122"/>
        <v>4501.9511321123318</v>
      </c>
      <c r="AM118" s="69">
        <f t="shared" ca="1" si="122"/>
        <v>4637.3005914859305</v>
      </c>
      <c r="AN118" s="69">
        <f t="shared" ca="1" si="122"/>
        <v>4778.6678191464016</v>
      </c>
      <c r="AO118" s="69">
        <f t="shared" ca="1" si="122"/>
        <v>4926.659444432973</v>
      </c>
      <c r="AP118" s="69">
        <f t="shared" ca="1" si="122"/>
        <v>5081.9650065076958</v>
      </c>
      <c r="AQ118" s="69">
        <f t="shared" ca="1" si="122"/>
        <v>5245.5313571943698</v>
      </c>
      <c r="AR118" s="69">
        <f t="shared" ca="1" si="122"/>
        <v>5418.285991508892</v>
      </c>
      <c r="AS118" s="69">
        <f t="shared" ca="1" si="122"/>
        <v>5601.3914535301619</v>
      </c>
      <c r="AT118" s="69">
        <f t="shared" ca="1" si="122"/>
        <v>5795.0678094094201</v>
      </c>
      <c r="AU118" s="69">
        <f t="shared" ca="1" si="122"/>
        <v>6000.5322912204865</v>
      </c>
      <c r="AV118" s="69">
        <f t="shared" ca="1" si="122"/>
        <v>6219.2075475575111</v>
      </c>
      <c r="AW118" s="69">
        <f t="shared" ca="1" si="122"/>
        <v>6452.4427706534043</v>
      </c>
      <c r="AX118" s="69">
        <f t="shared" ca="1" si="122"/>
        <v>6701.746364077313</v>
      </c>
      <c r="AY118" s="69">
        <f t="shared" ca="1" si="122"/>
        <v>6968.6734995649604</v>
      </c>
      <c r="AZ118" s="69">
        <f t="shared" ca="1" si="122"/>
        <v>7254.9086756009001</v>
      </c>
      <c r="BA118" s="69">
        <f t="shared" ca="1" si="122"/>
        <v>7562.1467421512843</v>
      </c>
      <c r="BB118" s="69">
        <f t="shared" ca="1" si="122"/>
        <v>7892.2671326946829</v>
      </c>
      <c r="BC118" s="69">
        <f t="shared" ca="1" si="122"/>
        <v>8247.3207465040832</v>
      </c>
      <c r="BD118" s="69">
        <f t="shared" ca="1" si="122"/>
        <v>8629.3222891523928</v>
      </c>
      <c r="BE118" s="69">
        <f t="shared" ca="1" si="122"/>
        <v>9040.3390487085289</v>
      </c>
      <c r="BF118" s="69">
        <f t="shared" ca="1" si="122"/>
        <v>9482.6496027645899</v>
      </c>
      <c r="BG118" s="69">
        <f t="shared" ca="1" si="122"/>
        <v>9958.7616911821424</v>
      </c>
      <c r="BH118" s="69">
        <f t="shared" ca="1" si="122"/>
        <v>10471.393054203329</v>
      </c>
      <c r="BI118" s="69">
        <f t="shared" ca="1" si="122"/>
        <v>11023.497687298932</v>
      </c>
      <c r="BJ118" s="69">
        <f t="shared" ca="1" si="122"/>
        <v>11618.143043833399</v>
      </c>
      <c r="BK118" s="69">
        <f t="shared" ca="1" si="122"/>
        <v>12258.536483607189</v>
      </c>
      <c r="BL118" s="69">
        <f t="shared" ca="1" si="122"/>
        <v>12948.199751651573</v>
      </c>
      <c r="BM118" s="69">
        <f t="shared" ca="1" si="122"/>
        <v>13690.879353933753</v>
      </c>
      <c r="BN118" s="69">
        <f t="shared" ca="1" si="122"/>
        <v>14490.556299222604</v>
      </c>
      <c r="BO118" s="69">
        <f t="shared" ref="BO118:CT118" ca="1" si="123">BO98+BO111</f>
        <v>15351.454867278182</v>
      </c>
      <c r="BP118" s="69">
        <f t="shared" ca="1" si="123"/>
        <v>16278.153861597622</v>
      </c>
      <c r="BQ118" s="69">
        <f t="shared" ca="1" si="123"/>
        <v>17275.486467067552</v>
      </c>
      <c r="BR118" s="69">
        <f t="shared" ca="1" si="123"/>
        <v>18348.5913359595</v>
      </c>
      <c r="BS118" s="69">
        <f t="shared" ca="1" si="123"/>
        <v>19502.737024945105</v>
      </c>
      <c r="BT118" s="69">
        <f t="shared" ca="1" si="123"/>
        <v>20743.671816694954</v>
      </c>
      <c r="BU118" s="69">
        <f t="shared" ca="1" si="123"/>
        <v>22077.522474938683</v>
      </c>
      <c r="BV118" s="69">
        <f t="shared" ca="1" si="123"/>
        <v>23510.783925140015</v>
      </c>
      <c r="BW118" s="69">
        <f t="shared" ca="1" si="123"/>
        <v>25050.374922211151</v>
      </c>
      <c r="BX118" s="69">
        <f t="shared" ca="1" si="123"/>
        <v>26703.735768014762</v>
      </c>
      <c r="BY118" s="69">
        <f t="shared" ca="1" si="123"/>
        <v>28478.577550964121</v>
      </c>
      <c r="BZ118" s="69">
        <f t="shared" ca="1" si="123"/>
        <v>30383.39014713524</v>
      </c>
      <c r="CA118" s="69">
        <f t="shared" ca="1" si="123"/>
        <v>32427.520621824129</v>
      </c>
      <c r="CB118" s="69">
        <f t="shared" ca="1" si="123"/>
        <v>34621.002057709142</v>
      </c>
      <c r="CC118" s="69">
        <f t="shared" ca="1" si="123"/>
        <v>36975.247536539602</v>
      </c>
      <c r="CD118" s="69">
        <f t="shared" ca="1" si="123"/>
        <v>39501.90515676386</v>
      </c>
      <c r="CE118" s="69">
        <f t="shared" ca="1" si="123"/>
        <v>42213.687842788553</v>
      </c>
      <c r="CF118" s="69">
        <f t="shared" ca="1" si="123"/>
        <v>45123.422894815594</v>
      </c>
      <c r="CG118" s="69">
        <f t="shared" ca="1" si="123"/>
        <v>48245.693906774599</v>
      </c>
      <c r="CH118" s="69">
        <f t="shared" ca="1" si="123"/>
        <v>51598.011014489231</v>
      </c>
      <c r="CI118" s="69">
        <f t="shared" ca="1" si="123"/>
        <v>55196.605228907516</v>
      </c>
      <c r="CJ118" s="69">
        <f t="shared" ca="1" si="123"/>
        <v>59059.324248731558</v>
      </c>
      <c r="CK118" s="69">
        <f t="shared" ca="1" si="123"/>
        <v>63205.683383188392</v>
      </c>
      <c r="CL118" s="69">
        <f t="shared" ca="1" si="123"/>
        <v>67656.255030337052</v>
      </c>
      <c r="CM118" s="69">
        <f t="shared" ca="1" si="123"/>
        <v>72433.926768786216</v>
      </c>
      <c r="CN118" s="69">
        <f t="shared" ca="1" si="123"/>
        <v>77563.236999797358</v>
      </c>
      <c r="CO118" s="69">
        <f t="shared" ca="1" si="123"/>
        <v>83071.402031040285</v>
      </c>
      <c r="CP118" s="69">
        <f t="shared" ca="1" si="123"/>
        <v>88987.107886697107</v>
      </c>
      <c r="CQ118" s="69">
        <f t="shared" ca="1" si="123"/>
        <v>95342.141445677655</v>
      </c>
      <c r="CR118" s="69">
        <f t="shared" ca="1" si="123"/>
        <v>102169.5321639005</v>
      </c>
      <c r="CS118" s="69">
        <f t="shared" ca="1" si="123"/>
        <v>109505.04867848972</v>
      </c>
      <c r="CT118" s="69">
        <f t="shared" ca="1" si="123"/>
        <v>117386.54462237205</v>
      </c>
      <c r="CU118" s="69">
        <f t="shared" ref="CU118:DZ118" ca="1" si="124">CU98+CU111</f>
        <v>125855.4000026141</v>
      </c>
      <c r="CV118" s="69">
        <f t="shared" ca="1" si="124"/>
        <v>134953.68517122322</v>
      </c>
      <c r="CW118" s="69">
        <f t="shared" ca="1" si="124"/>
        <v>144726.91798417887</v>
      </c>
      <c r="CX118" s="69">
        <f t="shared" ca="1" si="124"/>
        <v>155220.39420768153</v>
      </c>
      <c r="CY118" s="69">
        <f t="shared" ca="1" si="124"/>
        <v>166483.90661983832</v>
      </c>
      <c r="CZ118" s="69">
        <f t="shared" ca="1" si="124"/>
        <v>178570.15317381814</v>
      </c>
      <c r="DA118" s="69">
        <f t="shared" ca="1" si="124"/>
        <v>183831.338891147</v>
      </c>
      <c r="DB118" s="69">
        <f t="shared" ca="1" si="124"/>
        <v>189493.42805052665</v>
      </c>
      <c r="DC118" s="69">
        <f t="shared" ca="1" si="124"/>
        <v>195585.80030674505</v>
      </c>
      <c r="DD118" s="69">
        <f t="shared" ca="1" si="124"/>
        <v>202140.44090267445</v>
      </c>
      <c r="DE118" s="69">
        <f t="shared" ca="1" si="124"/>
        <v>209191.5909854738</v>
      </c>
      <c r="DF118" s="69">
        <f t="shared" ca="1" si="124"/>
        <v>216776.69952420396</v>
      </c>
      <c r="DG118" s="69">
        <f t="shared" ca="1" si="124"/>
        <v>224935.51184264245</v>
      </c>
      <c r="DH118" s="69">
        <f t="shared" ca="1" si="124"/>
        <v>233712.38882393035</v>
      </c>
      <c r="DI118" s="69">
        <f t="shared" ca="1" si="124"/>
        <v>243154.48883853928</v>
      </c>
      <c r="DJ118" s="69">
        <f t="shared" ca="1" si="124"/>
        <v>253311.81976187782</v>
      </c>
      <c r="DK118" s="69">
        <f t="shared" ca="1" si="124"/>
        <v>264237.50887805998</v>
      </c>
      <c r="DL118" s="69">
        <f t="shared" ca="1" si="124"/>
        <v>275991.16662755614</v>
      </c>
      <c r="DM118" s="69">
        <f t="shared" ca="1" si="124"/>
        <v>288634.59595969139</v>
      </c>
      <c r="DN118" s="69">
        <f t="shared" ca="1" si="124"/>
        <v>302233.39487003052</v>
      </c>
      <c r="DO118" s="69">
        <f t="shared" ca="1" si="124"/>
        <v>316859.3897473113</v>
      </c>
      <c r="DP118" s="69">
        <f t="shared" ca="1" si="124"/>
        <v>332589.95783342741</v>
      </c>
      <c r="DQ118" s="69">
        <f t="shared" ca="1" si="124"/>
        <v>349508.64362231072</v>
      </c>
      <c r="DR118" s="69">
        <f t="shared" ca="1" si="124"/>
        <v>367705.12547496898</v>
      </c>
      <c r="DS118" s="69">
        <f t="shared" ca="1" si="124"/>
        <v>387275.69764243101</v>
      </c>
      <c r="DT118" s="69">
        <f t="shared" ca="1" si="124"/>
        <v>408324.4983126861</v>
      </c>
      <c r="DU118" s="69">
        <f t="shared" ca="1" si="124"/>
        <v>430963.35377639584</v>
      </c>
      <c r="DV118" s="69">
        <f t="shared" ca="1" si="124"/>
        <v>455312.36174026673</v>
      </c>
      <c r="DW118" s="69">
        <f t="shared" ca="1" si="124"/>
        <v>481500.56718158879</v>
      </c>
      <c r="DX118" s="69">
        <f t="shared" ca="1" si="124"/>
        <v>509666.57238070475</v>
      </c>
      <c r="DY118" s="69">
        <f t="shared" ca="1" si="124"/>
        <v>539960.18975859811</v>
      </c>
      <c r="DZ118" s="69">
        <f t="shared" ca="1" si="124"/>
        <v>572541.88051318913</v>
      </c>
      <c r="EA118" s="69">
        <f t="shared" ref="EA118:EL118" ca="1" si="125">EA98+EA111</f>
        <v>607584.50769526744</v>
      </c>
      <c r="EB118" s="69">
        <f t="shared" ca="1" si="125"/>
        <v>645275.10834286013</v>
      </c>
      <c r="EC118" s="69">
        <f t="shared" ca="1" si="125"/>
        <v>685813.56415850972</v>
      </c>
      <c r="ED118" s="69">
        <f t="shared" ca="1" si="125"/>
        <v>729414.03624797252</v>
      </c>
      <c r="EE118" s="69">
        <f t="shared" ca="1" si="125"/>
        <v>776308.10480014933</v>
      </c>
      <c r="EF118" s="69">
        <f t="shared" ca="1" si="125"/>
        <v>826744.891966503</v>
      </c>
      <c r="EG118" s="69">
        <f t="shared" ca="1" si="125"/>
        <v>880991.79590799438</v>
      </c>
      <c r="EH118" s="69">
        <f t="shared" ca="1" si="125"/>
        <v>939336.24224969232</v>
      </c>
      <c r="EI118" s="69">
        <f t="shared" ca="1" si="125"/>
        <v>1002088.1784230199</v>
      </c>
      <c r="EJ118" s="69">
        <f t="shared" ca="1" si="125"/>
        <v>1069580.8100890126</v>
      </c>
      <c r="EK118" s="69">
        <f t="shared" ca="1" si="125"/>
        <v>1142171.326832894</v>
      </c>
      <c r="EL118" s="69">
        <f t="shared" ca="1" si="125"/>
        <v>1220244.3216748459</v>
      </c>
    </row>
    <row r="119" spans="1:142" s="2" customFormat="1" ht="20.25">
      <c r="A119" s="8"/>
      <c r="B119" s="51" t="s">
        <v>52</v>
      </c>
      <c r="C119" s="69">
        <f t="shared" ref="C119:AH119" ca="1" si="126">C101+C114</f>
        <v>332.49053302727589</v>
      </c>
      <c r="D119" s="69">
        <f t="shared" ca="1" si="126"/>
        <v>530.74294563088802</v>
      </c>
      <c r="E119" s="69">
        <f t="shared" ca="1" si="126"/>
        <v>743.56652265311595</v>
      </c>
      <c r="F119" s="69">
        <f t="shared" ca="1" si="126"/>
        <v>995.14303685123195</v>
      </c>
      <c r="G119" s="69">
        <f t="shared" ca="1" si="126"/>
        <v>1285.172245842954</v>
      </c>
      <c r="H119" s="69">
        <f t="shared" ca="1" si="126"/>
        <v>1560.7793008183726</v>
      </c>
      <c r="I119" s="69">
        <f t="shared" ca="1" si="126"/>
        <v>1764.3234028584684</v>
      </c>
      <c r="J119" s="69">
        <f t="shared" ca="1" si="126"/>
        <v>1910.0594253542181</v>
      </c>
      <c r="K119" s="69">
        <f t="shared" ca="1" si="126"/>
        <v>1988.1801627852451</v>
      </c>
      <c r="L119" s="69">
        <f t="shared" ca="1" si="126"/>
        <v>2010.2527573074972</v>
      </c>
      <c r="M119" s="69">
        <f t="shared" ca="1" si="126"/>
        <v>2027.9280272184797</v>
      </c>
      <c r="N119" s="69">
        <f t="shared" ca="1" si="126"/>
        <v>2054.1874907102442</v>
      </c>
      <c r="O119" s="69">
        <f t="shared" ca="1" si="126"/>
        <v>2100.6413669594317</v>
      </c>
      <c r="P119" s="69">
        <f t="shared" ca="1" si="126"/>
        <v>2161.7062282613842</v>
      </c>
      <c r="Q119" s="69">
        <f t="shared" ca="1" si="126"/>
        <v>2238.8973259714885</v>
      </c>
      <c r="R119" s="69">
        <f t="shared" ca="1" si="126"/>
        <v>2326.6160593070335</v>
      </c>
      <c r="S119" s="69">
        <f t="shared" ca="1" si="126"/>
        <v>2416.1628093765007</v>
      </c>
      <c r="T119" s="69">
        <f t="shared" ca="1" si="126"/>
        <v>2507.3238765935753</v>
      </c>
      <c r="U119" s="69">
        <f t="shared" ca="1" si="126"/>
        <v>2601.2714674473191</v>
      </c>
      <c r="V119" s="69">
        <f t="shared" ca="1" si="126"/>
        <v>2697.903965465418</v>
      </c>
      <c r="W119" s="69">
        <f t="shared" ca="1" si="126"/>
        <v>2797.0609506067312</v>
      </c>
      <c r="X119" s="69">
        <f t="shared" ca="1" si="126"/>
        <v>2898.1974677121157</v>
      </c>
      <c r="Y119" s="69">
        <f t="shared" ca="1" si="126"/>
        <v>3001.007048295889</v>
      </c>
      <c r="Z119" s="69">
        <f t="shared" ca="1" si="126"/>
        <v>3105.3030989297631</v>
      </c>
      <c r="AA119" s="69">
        <f t="shared" ca="1" si="126"/>
        <v>3211.0082586053304</v>
      </c>
      <c r="AB119" s="69">
        <f t="shared" ca="1" si="126"/>
        <v>3317.9910169267132</v>
      </c>
      <c r="AC119" s="69">
        <f t="shared" ca="1" si="126"/>
        <v>3426.1405495124991</v>
      </c>
      <c r="AD119" s="69">
        <f t="shared" ca="1" si="126"/>
        <v>3535.6098932906548</v>
      </c>
      <c r="AE119" s="69">
        <f t="shared" ca="1" si="126"/>
        <v>3646.4725968375833</v>
      </c>
      <c r="AF119" s="69">
        <f t="shared" ca="1" si="126"/>
        <v>3758.7211814517868</v>
      </c>
      <c r="AG119" s="69">
        <f t="shared" ca="1" si="126"/>
        <v>3872.8213072700419</v>
      </c>
      <c r="AH119" s="69">
        <f t="shared" ca="1" si="126"/>
        <v>3988.7032476662143</v>
      </c>
      <c r="AI119" s="69">
        <f t="shared" ref="AI119:BN119" ca="1" si="127">AI101+AI114</f>
        <v>4106.5254449056602</v>
      </c>
      <c r="AJ119" s="69">
        <f t="shared" ca="1" si="127"/>
        <v>4227.4490020460325</v>
      </c>
      <c r="AK119" s="69">
        <f t="shared" ca="1" si="127"/>
        <v>4351.9363645547674</v>
      </c>
      <c r="AL119" s="69">
        <f t="shared" ca="1" si="127"/>
        <v>4481.0191955190476</v>
      </c>
      <c r="AM119" s="69">
        <f t="shared" ca="1" si="127"/>
        <v>4615.3962296923064</v>
      </c>
      <c r="AN119" s="69">
        <f t="shared" ca="1" si="127"/>
        <v>4755.702842942751</v>
      </c>
      <c r="AO119" s="69">
        <f t="shared" ca="1" si="127"/>
        <v>4902.5770729432052</v>
      </c>
      <c r="AP119" s="69">
        <f t="shared" ca="1" si="127"/>
        <v>5056.6984433948965</v>
      </c>
      <c r="AQ119" s="69">
        <f t="shared" ca="1" si="127"/>
        <v>5219.0034147953666</v>
      </c>
      <c r="AR119" s="69">
        <f t="shared" ca="1" si="127"/>
        <v>5390.4185268412966</v>
      </c>
      <c r="AS119" s="69">
        <f t="shared" ca="1" si="127"/>
        <v>5572.1003154367681</v>
      </c>
      <c r="AT119" s="69">
        <f t="shared" ca="1" si="127"/>
        <v>5764.2778508391002</v>
      </c>
      <c r="AU119" s="69">
        <f t="shared" ca="1" si="127"/>
        <v>5968.1586562384964</v>
      </c>
      <c r="AV119" s="69">
        <f t="shared" ca="1" si="127"/>
        <v>6185.1646201090261</v>
      </c>
      <c r="AW119" s="69">
        <f t="shared" ca="1" si="127"/>
        <v>6416.6380432097549</v>
      </c>
      <c r="AX119" s="69">
        <f t="shared" ca="1" si="127"/>
        <v>6664.0821955349493</v>
      </c>
      <c r="AY119" s="69">
        <f t="shared" ca="1" si="127"/>
        <v>6929.0472087489879</v>
      </c>
      <c r="AZ119" s="69">
        <f t="shared" ca="1" si="127"/>
        <v>7213.1166752216304</v>
      </c>
      <c r="BA119" s="69">
        <f t="shared" ca="1" si="127"/>
        <v>7518.1007561530751</v>
      </c>
      <c r="BB119" s="69">
        <f t="shared" ca="1" si="127"/>
        <v>7845.8438983765618</v>
      </c>
      <c r="BC119" s="69">
        <f t="shared" ca="1" si="127"/>
        <v>8198.3882168854761</v>
      </c>
      <c r="BD119" s="69">
        <f t="shared" ca="1" si="127"/>
        <v>8577.741312863991</v>
      </c>
      <c r="BE119" s="69">
        <f t="shared" ca="1" si="127"/>
        <v>8985.963005743437</v>
      </c>
      <c r="BF119" s="69">
        <f t="shared" ca="1" si="127"/>
        <v>9425.3240305464551</v>
      </c>
      <c r="BG119" s="69">
        <f t="shared" ca="1" si="127"/>
        <v>9898.3237136830994</v>
      </c>
      <c r="BH119" s="69">
        <f t="shared" ca="1" si="127"/>
        <v>10407.670859155714</v>
      </c>
      <c r="BI119" s="69">
        <f t="shared" ca="1" si="127"/>
        <v>10956.310161910595</v>
      </c>
      <c r="BJ119" s="69">
        <f t="shared" ca="1" si="127"/>
        <v>11547.299129936964</v>
      </c>
      <c r="BK119" s="69">
        <f t="shared" ca="1" si="127"/>
        <v>12183.834519671545</v>
      </c>
      <c r="BL119" s="69">
        <f t="shared" ca="1" si="127"/>
        <v>12869.426745560031</v>
      </c>
      <c r="BM119" s="69">
        <f t="shared" ca="1" si="127"/>
        <v>13607.810558379755</v>
      </c>
      <c r="BN119" s="69">
        <f t="shared" ca="1" si="127"/>
        <v>14402.954520212817</v>
      </c>
      <c r="BO119" s="69">
        <f t="shared" ref="BO119:CT119" ca="1" si="128">BO101+BO114</f>
        <v>15259.0699301899</v>
      </c>
      <c r="BP119" s="69">
        <f t="shared" ca="1" si="128"/>
        <v>16180.722381897342</v>
      </c>
      <c r="BQ119" s="69">
        <f t="shared" ca="1" si="128"/>
        <v>17172.730892639982</v>
      </c>
      <c r="BR119" s="69">
        <f t="shared" ca="1" si="128"/>
        <v>18240.219537540597</v>
      </c>
      <c r="BS119" s="69">
        <f t="shared" ca="1" si="128"/>
        <v>19388.441635987474</v>
      </c>
      <c r="BT119" s="69">
        <f t="shared" ca="1" si="128"/>
        <v>20623.129850428202</v>
      </c>
      <c r="BU119" s="69">
        <f t="shared" ca="1" si="128"/>
        <v>21950.394861637054</v>
      </c>
      <c r="BV119" s="69">
        <f t="shared" ca="1" si="128"/>
        <v>23376.714937499346</v>
      </c>
      <c r="BW119" s="69">
        <f t="shared" ca="1" si="128"/>
        <v>24908.992004720392</v>
      </c>
      <c r="BX119" s="69">
        <f t="shared" ca="1" si="128"/>
        <v>26554.648508453807</v>
      </c>
      <c r="BY119" s="69">
        <f t="shared" ca="1" si="128"/>
        <v>28321.376840676068</v>
      </c>
      <c r="BZ119" s="69">
        <f t="shared" ca="1" si="128"/>
        <v>30217.646800885119</v>
      </c>
      <c r="CA119" s="69">
        <f t="shared" ca="1" si="128"/>
        <v>32252.783328282694</v>
      </c>
      <c r="CB119" s="69">
        <f t="shared" ca="1" si="128"/>
        <v>34436.796464020168</v>
      </c>
      <c r="CC119" s="69">
        <f t="shared" ca="1" si="128"/>
        <v>36781.075050076135</v>
      </c>
      <c r="CD119" s="69">
        <f t="shared" ca="1" si="128"/>
        <v>39297.242403952638</v>
      </c>
      <c r="CE119" s="69">
        <f t="shared" ca="1" si="128"/>
        <v>41997.986855000592</v>
      </c>
      <c r="CF119" s="69">
        <f t="shared" ca="1" si="128"/>
        <v>44896.110859169778</v>
      </c>
      <c r="CG119" s="69">
        <f t="shared" ca="1" si="128"/>
        <v>48006.173182842744</v>
      </c>
      <c r="CH119" s="69">
        <f t="shared" ca="1" si="128"/>
        <v>51345.659629095528</v>
      </c>
      <c r="CI119" s="69">
        <f t="shared" ca="1" si="128"/>
        <v>54930.778009546069</v>
      </c>
      <c r="CJ119" s="69">
        <f t="shared" ca="1" si="128"/>
        <v>58779.352633568931</v>
      </c>
      <c r="CK119" s="69">
        <f t="shared" ca="1" si="128"/>
        <v>62910.875447068953</v>
      </c>
      <c r="CL119" s="69">
        <f t="shared" ca="1" si="128"/>
        <v>67345.895201664855</v>
      </c>
      <c r="CM119" s="69">
        <f t="shared" ca="1" si="128"/>
        <v>72107.276156212494</v>
      </c>
      <c r="CN119" s="69">
        <f t="shared" ca="1" si="128"/>
        <v>77219.533377560845</v>
      </c>
      <c r="CO119" s="69">
        <f t="shared" ca="1" si="128"/>
        <v>82709.860509590173</v>
      </c>
      <c r="CP119" s="69">
        <f t="shared" ca="1" si="128"/>
        <v>88606.920748415272</v>
      </c>
      <c r="CQ119" s="69">
        <f t="shared" ca="1" si="128"/>
        <v>94942.477470233833</v>
      </c>
      <c r="CR119" s="69">
        <f t="shared" ca="1" si="128"/>
        <v>101749.53924919703</v>
      </c>
      <c r="CS119" s="69">
        <f t="shared" ca="1" si="128"/>
        <v>109063.85772783676</v>
      </c>
      <c r="CT119" s="69">
        <f t="shared" ca="1" si="128"/>
        <v>116923.2715374243</v>
      </c>
      <c r="CU119" s="69">
        <f t="shared" ref="CU119:DZ119" ca="1" si="129">CU101+CU114</f>
        <v>125369.15008972012</v>
      </c>
      <c r="CV119" s="69">
        <f t="shared" ca="1" si="129"/>
        <v>134443.55761261159</v>
      </c>
      <c r="CW119" s="69">
        <f t="shared" ca="1" si="129"/>
        <v>144192.0086028256</v>
      </c>
      <c r="CX119" s="69">
        <f t="shared" ca="1" si="129"/>
        <v>154659.80581055643</v>
      </c>
      <c r="CY119" s="69">
        <f t="shared" ca="1" si="129"/>
        <v>165896.74998530277</v>
      </c>
      <c r="CZ119" s="69">
        <f t="shared" ca="1" si="129"/>
        <v>177955.55834300473</v>
      </c>
      <c r="DA119" s="69">
        <f t="shared" ca="1" si="129"/>
        <v>183217.4982981958</v>
      </c>
      <c r="DB119" s="69">
        <f t="shared" ca="1" si="129"/>
        <v>188880.39933334722</v>
      </c>
      <c r="DC119" s="69">
        <f t="shared" ca="1" si="129"/>
        <v>194973.64532741503</v>
      </c>
      <c r="DD119" s="69">
        <f t="shared" ca="1" si="129"/>
        <v>201529.22605548892</v>
      </c>
      <c r="DE119" s="69">
        <f t="shared" ca="1" si="129"/>
        <v>208581.38759508575</v>
      </c>
      <c r="DF119" s="69">
        <f t="shared" ca="1" si="129"/>
        <v>216167.58420028305</v>
      </c>
      <c r="DG119" s="69">
        <f t="shared" ca="1" si="129"/>
        <v>224327.56696827739</v>
      </c>
      <c r="DH119" s="69">
        <f t="shared" ca="1" si="129"/>
        <v>233105.70292297954</v>
      </c>
      <c r="DI119" s="69">
        <f t="shared" ca="1" si="129"/>
        <v>242549.15726612124</v>
      </c>
      <c r="DJ119" s="69">
        <f t="shared" ca="1" si="129"/>
        <v>252707.94515741122</v>
      </c>
      <c r="DK119" s="69">
        <f t="shared" ca="1" si="129"/>
        <v>263635.20160794933</v>
      </c>
      <c r="DL119" s="69">
        <f t="shared" ca="1" si="129"/>
        <v>275390.54526505579</v>
      </c>
      <c r="DM119" s="69">
        <f t="shared" ca="1" si="129"/>
        <v>288035.78825056867</v>
      </c>
      <c r="DN119" s="69">
        <f t="shared" ca="1" si="129"/>
        <v>301636.53811992705</v>
      </c>
      <c r="DO119" s="69">
        <f t="shared" ca="1" si="129"/>
        <v>316264.63139541278</v>
      </c>
      <c r="DP119" s="69">
        <f t="shared" ca="1" si="129"/>
        <v>331997.45638933632</v>
      </c>
      <c r="DQ119" s="69">
        <f t="shared" ca="1" si="129"/>
        <v>348918.56953321613</v>
      </c>
      <c r="DR119" s="69">
        <f t="shared" ca="1" si="129"/>
        <v>367117.66207596648</v>
      </c>
      <c r="DS119" s="69">
        <f t="shared" ca="1" si="129"/>
        <v>386691.04210834642</v>
      </c>
      <c r="DT119" s="69">
        <f t="shared" ca="1" si="129"/>
        <v>407742.8626791595</v>
      </c>
      <c r="DU119" s="69">
        <f t="shared" ca="1" si="129"/>
        <v>430384.96614237269</v>
      </c>
      <c r="DV119" s="69">
        <f t="shared" ca="1" si="129"/>
        <v>454737.46746186021</v>
      </c>
      <c r="DW119" s="69">
        <f t="shared" ca="1" si="129"/>
        <v>480929.43014896731</v>
      </c>
      <c r="DX119" s="69">
        <f t="shared" ca="1" si="129"/>
        <v>509099.47639821388</v>
      </c>
      <c r="DY119" s="69">
        <f t="shared" ca="1" si="129"/>
        <v>539397.44002020487</v>
      </c>
      <c r="DZ119" s="69">
        <f t="shared" ca="1" si="129"/>
        <v>571983.80532224104</v>
      </c>
      <c r="EA119" s="69">
        <f t="shared" ref="EA119:EL119" ca="1" si="130">EA101+EA114</f>
        <v>607031.46012221067</v>
      </c>
      <c r="EB119" s="69">
        <f t="shared" ca="1" si="130"/>
        <v>644727.46812974405</v>
      </c>
      <c r="EC119" s="69">
        <f t="shared" ca="1" si="130"/>
        <v>685271.73989638255</v>
      </c>
      <c r="ED119" s="69">
        <f t="shared" ca="1" si="130"/>
        <v>728878.46738423058</v>
      </c>
      <c r="EE119" s="69">
        <f t="shared" ca="1" si="130"/>
        <v>775779.26383883692</v>
      </c>
      <c r="EF119" s="69">
        <f t="shared" ca="1" si="130"/>
        <v>826223.28713360452</v>
      </c>
      <c r="EG119" s="69">
        <f t="shared" ca="1" si="130"/>
        <v>880477.97386953852</v>
      </c>
      <c r="EH119" s="69">
        <f t="shared" ca="1" si="130"/>
        <v>938830.7909391534</v>
      </c>
      <c r="EI119" s="69">
        <f t="shared" ca="1" si="130"/>
        <v>1001591.7301282387</v>
      </c>
      <c r="EJ119" s="69">
        <f t="shared" ca="1" si="130"/>
        <v>1069094.0449165725</v>
      </c>
      <c r="EK119" s="69">
        <f t="shared" ca="1" si="130"/>
        <v>1141694.9763066999</v>
      </c>
      <c r="EL119" s="69">
        <f t="shared" ca="1" si="130"/>
        <v>1219779.1724489594</v>
      </c>
    </row>
    <row r="120" spans="1:142" s="37" customFormat="1" ht="16.5" thickBot="1"/>
    <row r="121" spans="1:142" s="2" customFormat="1" ht="16.5" thickTop="1">
      <c r="D121" s="21"/>
      <c r="E121" s="21"/>
      <c r="F121" s="21"/>
      <c r="G121" s="21"/>
      <c r="H121" s="21"/>
      <c r="I121" s="21"/>
      <c r="J121" s="21"/>
      <c r="K121" s="23"/>
    </row>
    <row r="122" spans="1:142" s="2" customFormat="1">
      <c r="D122" s="21"/>
      <c r="E122" s="21"/>
      <c r="F122" s="21"/>
      <c r="G122" s="21"/>
      <c r="H122" s="21"/>
      <c r="I122" s="21"/>
      <c r="J122" s="21"/>
      <c r="K122" s="23"/>
    </row>
    <row r="123" spans="1:142" s="2" customFormat="1">
      <c r="D123" s="21"/>
      <c r="E123" s="21"/>
      <c r="F123" s="21"/>
      <c r="G123" s="21"/>
      <c r="H123" s="21"/>
      <c r="I123" s="21"/>
      <c r="J123" s="21"/>
      <c r="K123" s="23"/>
    </row>
    <row r="124" spans="1:142" s="2" customFormat="1">
      <c r="D124" s="21"/>
      <c r="E124" s="21"/>
      <c r="F124" s="21"/>
      <c r="G124" s="21"/>
      <c r="H124" s="21"/>
      <c r="I124" s="21"/>
      <c r="J124" s="21"/>
      <c r="K124" s="23"/>
    </row>
    <row r="125" spans="1:142" s="2" customFormat="1">
      <c r="C125" s="22"/>
      <c r="D125" s="21"/>
      <c r="E125" s="20"/>
      <c r="F125" s="20"/>
      <c r="G125" s="20"/>
      <c r="H125" s="20"/>
      <c r="I125" s="20"/>
      <c r="J125" s="20"/>
      <c r="K125" s="20"/>
      <c r="L125" s="19"/>
    </row>
    <row r="126" spans="1:142" s="2" customFormat="1"/>
    <row r="127" spans="1:142" s="2" customFormat="1"/>
    <row r="128" spans="1:142" s="2" customFormat="1"/>
    <row r="129" spans="1:9" s="2" customFormat="1" ht="20.25">
      <c r="A129" s="8"/>
      <c r="B129" s="7"/>
    </row>
    <row r="130" spans="1:9" s="2" customFormat="1">
      <c r="E130" s="6"/>
      <c r="F130" s="6"/>
      <c r="G130" s="6"/>
      <c r="H130" s="18"/>
      <c r="I130" s="18"/>
    </row>
    <row r="131" spans="1:9" s="2" customFormat="1">
      <c r="E131" s="9"/>
      <c r="F131" s="5"/>
      <c r="G131" s="17"/>
      <c r="H131" s="18"/>
      <c r="I131" s="18"/>
    </row>
    <row r="132" spans="1:9" s="2" customFormat="1">
      <c r="E132" s="9"/>
      <c r="F132" s="5"/>
      <c r="G132" s="17"/>
      <c r="H132" s="18"/>
      <c r="I132" s="14"/>
    </row>
    <row r="133" spans="1:9" s="2" customFormat="1">
      <c r="E133" s="9"/>
      <c r="F133" s="5"/>
      <c r="G133" s="17"/>
      <c r="H133" s="14"/>
      <c r="I133" s="14"/>
    </row>
    <row r="134" spans="1:9" s="2" customFormat="1">
      <c r="E134" s="9"/>
      <c r="F134" s="5"/>
      <c r="G134" s="17"/>
      <c r="H134" s="18"/>
      <c r="I134" s="14"/>
    </row>
    <row r="135" spans="1:9" s="2" customFormat="1">
      <c r="E135" s="3"/>
      <c r="F135" s="5"/>
      <c r="G135" s="17"/>
      <c r="H135" s="14"/>
      <c r="I135" s="14"/>
    </row>
    <row r="136" spans="1:9" s="2" customFormat="1">
      <c r="E136" s="9"/>
      <c r="F136" s="5"/>
      <c r="G136" s="17"/>
      <c r="H136" s="14"/>
      <c r="I136" s="14"/>
    </row>
    <row r="137" spans="1:9" s="2" customFormat="1">
      <c r="E137" s="9"/>
      <c r="F137" s="5"/>
      <c r="G137" s="17"/>
      <c r="H137" s="14"/>
      <c r="I137" s="14"/>
    </row>
    <row r="138" spans="1:9" s="2" customFormat="1">
      <c r="C138" s="13"/>
      <c r="D138" s="13"/>
      <c r="E138" s="12"/>
      <c r="F138" s="16"/>
      <c r="G138" s="15"/>
      <c r="H138" s="14"/>
      <c r="I138" s="14"/>
    </row>
    <row r="139" spans="1:9" s="2" customFormat="1">
      <c r="C139" s="13"/>
      <c r="D139" s="13"/>
      <c r="E139" s="12"/>
      <c r="F139" s="13"/>
      <c r="G139" s="12"/>
    </row>
    <row r="140" spans="1:9" s="2" customFormat="1"/>
    <row r="141" spans="1:9" s="2" customFormat="1"/>
    <row r="142" spans="1:9" s="2" customFormat="1"/>
    <row r="143" spans="1:9" s="2" customFormat="1" ht="20.25">
      <c r="A143" s="8"/>
      <c r="B143" s="7"/>
      <c r="F143" s="11"/>
    </row>
    <row r="144" spans="1:9" s="2" customFormat="1">
      <c r="E144" s="6"/>
      <c r="F144" s="6"/>
      <c r="G144" s="6"/>
    </row>
    <row r="145" spans="1:7" s="2" customFormat="1">
      <c r="E145" s="9"/>
      <c r="F145" s="10"/>
      <c r="G145" s="3"/>
    </row>
    <row r="146" spans="1:7" s="2" customFormat="1">
      <c r="E146" s="6"/>
      <c r="F146" s="5"/>
      <c r="G146" s="3"/>
    </row>
    <row r="147" spans="1:7" s="2" customFormat="1">
      <c r="E147" s="9"/>
      <c r="F147" s="5"/>
      <c r="G147" s="9"/>
    </row>
    <row r="148" spans="1:7" s="2" customFormat="1"/>
    <row r="149" spans="1:7" s="2" customFormat="1"/>
    <row r="150" spans="1:7" s="2" customFormat="1"/>
    <row r="151" spans="1:7" s="2" customFormat="1" ht="20.25">
      <c r="A151" s="8"/>
      <c r="B151" s="7"/>
    </row>
    <row r="152" spans="1:7" s="2" customFormat="1">
      <c r="E152" s="6"/>
      <c r="F152" s="6"/>
      <c r="G152" s="6"/>
    </row>
    <row r="153" spans="1:7" s="2" customFormat="1">
      <c r="E153" s="3"/>
      <c r="F153" s="5"/>
      <c r="G153" s="3"/>
    </row>
    <row r="154" spans="1:7" s="2" customFormat="1">
      <c r="E154" s="3"/>
      <c r="F154" s="5"/>
      <c r="G154" s="3"/>
    </row>
    <row r="155" spans="1:7" s="2" customFormat="1">
      <c r="E155" s="3"/>
      <c r="F155" s="5"/>
      <c r="G155" s="3"/>
    </row>
    <row r="156" spans="1:7" s="2" customFormat="1">
      <c r="E156" s="3"/>
      <c r="F156" s="4"/>
      <c r="G156" s="3"/>
    </row>
    <row r="157" spans="1:7" s="2" customFormat="1">
      <c r="E157" s="3"/>
      <c r="G157" s="3"/>
    </row>
    <row r="158" spans="1:7" s="2" customFormat="1"/>
    <row r="159" spans="1:7" s="2" customFormat="1"/>
    <row r="160" spans="1:7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"/>
  <sheetViews>
    <sheetView workbookViewId="0">
      <selection activeCell="F32" sqref="A1:XFD1048576"/>
    </sheetView>
  </sheetViews>
  <sheetFormatPr defaultRowHeight="15.75"/>
  <cols>
    <col min="1" max="16384" width="9" style="122"/>
  </cols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68"/>
  <sheetViews>
    <sheetView zoomScale="70" zoomScaleNormal="70" workbookViewId="0">
      <selection activeCell="H63" sqref="H63"/>
    </sheetView>
  </sheetViews>
  <sheetFormatPr defaultRowHeight="14.25"/>
  <cols>
    <col min="1" max="1" width="9" style="116"/>
    <col min="2" max="2" width="26.375" style="116" bestFit="1" customWidth="1"/>
    <col min="3" max="3" width="20.875" style="116" bestFit="1" customWidth="1"/>
    <col min="4" max="4" width="11.875" style="116" bestFit="1" customWidth="1"/>
    <col min="5" max="5" width="11.375" style="116" customWidth="1"/>
    <col min="6" max="16384" width="9" style="116"/>
  </cols>
  <sheetData>
    <row r="2" spans="1:5" s="118" customFormat="1"/>
    <row r="3" spans="1:5">
      <c r="A3" s="120" t="s">
        <v>122</v>
      </c>
    </row>
    <row r="5" spans="1:5">
      <c r="B5" s="120" t="s">
        <v>121</v>
      </c>
      <c r="C5" s="120" t="s">
        <v>120</v>
      </c>
      <c r="D5" s="120" t="s">
        <v>119</v>
      </c>
      <c r="E5" s="120" t="s">
        <v>118</v>
      </c>
    </row>
    <row r="6" spans="1:5" ht="15.75">
      <c r="B6" s="116" t="s">
        <v>40</v>
      </c>
      <c r="C6" s="116" t="s">
        <v>117</v>
      </c>
      <c r="D6" s="119">
        <v>0</v>
      </c>
      <c r="E6" s="116">
        <v>0</v>
      </c>
    </row>
    <row r="7" spans="1:5" ht="15.75">
      <c r="B7" s="116" t="s">
        <v>40</v>
      </c>
      <c r="C7" s="116" t="s">
        <v>116</v>
      </c>
      <c r="D7" s="119">
        <v>2.7064772390235085E-2</v>
      </c>
      <c r="E7" s="116">
        <v>3.4299999999999997E-2</v>
      </c>
    </row>
    <row r="8" spans="1:5" ht="15.75">
      <c r="B8" s="116" t="s">
        <v>40</v>
      </c>
      <c r="C8" s="116" t="s">
        <v>115</v>
      </c>
      <c r="D8" s="119">
        <v>0.10685131097732985</v>
      </c>
      <c r="E8" s="116">
        <v>4.3700000000000003E-2</v>
      </c>
    </row>
    <row r="9" spans="1:5" ht="15.75">
      <c r="B9" s="116" t="s">
        <v>40</v>
      </c>
      <c r="C9" s="116" t="s">
        <v>114</v>
      </c>
      <c r="D9" s="119">
        <v>0.26062942133930733</v>
      </c>
      <c r="E9" s="116">
        <v>5.1799999999999999E-2</v>
      </c>
    </row>
    <row r="10" spans="1:5" ht="15.75">
      <c r="B10" s="116" t="s">
        <v>40</v>
      </c>
      <c r="C10" s="116" t="s">
        <v>113</v>
      </c>
      <c r="D10" s="119">
        <v>0</v>
      </c>
      <c r="E10" s="116">
        <v>6.83E-2</v>
      </c>
    </row>
    <row r="11" spans="1:5" ht="15.75">
      <c r="B11" s="116" t="s">
        <v>40</v>
      </c>
      <c r="C11" s="116" t="s">
        <v>112</v>
      </c>
      <c r="D11" s="119">
        <v>0</v>
      </c>
      <c r="E11" s="116">
        <v>4.1500000000000002E-2</v>
      </c>
    </row>
    <row r="12" spans="1:5" ht="15.75">
      <c r="B12" s="116" t="s">
        <v>39</v>
      </c>
      <c r="C12" s="116" t="s">
        <v>111</v>
      </c>
      <c r="D12" s="119">
        <v>0.17126599230662018</v>
      </c>
      <c r="E12" s="116">
        <v>8.0600000000000005E-2</v>
      </c>
    </row>
    <row r="13" spans="1:5" ht="15.75">
      <c r="B13" s="116" t="s">
        <v>39</v>
      </c>
      <c r="C13" s="116" t="s">
        <v>110</v>
      </c>
      <c r="D13" s="119">
        <v>0.1712659923076072</v>
      </c>
      <c r="E13" s="116">
        <v>9.6199999999999994E-2</v>
      </c>
    </row>
    <row r="14" spans="1:5" ht="15.75">
      <c r="B14" s="116" t="s">
        <v>38</v>
      </c>
      <c r="C14" s="116" t="s">
        <v>109</v>
      </c>
      <c r="D14" s="119">
        <v>0.14000000000000001</v>
      </c>
      <c r="E14" s="116">
        <v>0.107</v>
      </c>
    </row>
    <row r="15" spans="1:5" ht="15.75">
      <c r="B15" s="116" t="s">
        <v>38</v>
      </c>
      <c r="C15" s="116" t="s">
        <v>108</v>
      </c>
      <c r="D15" s="119">
        <v>0.09</v>
      </c>
      <c r="E15" s="116">
        <v>7.6999999999999999E-2</v>
      </c>
    </row>
    <row r="16" spans="1:5" ht="15.75">
      <c r="B16" s="116" t="s">
        <v>38</v>
      </c>
      <c r="C16" s="116" t="s">
        <v>107</v>
      </c>
      <c r="D16" s="119">
        <v>0.02</v>
      </c>
      <c r="E16" s="116">
        <v>7.2999999999999995E-2</v>
      </c>
    </row>
    <row r="17" spans="2:5" ht="15.75">
      <c r="B17" s="116" t="s">
        <v>38</v>
      </c>
      <c r="C17" s="116" t="s">
        <v>106</v>
      </c>
      <c r="D17" s="119">
        <v>0</v>
      </c>
      <c r="E17" s="116">
        <v>5.0999999999999997E-2</v>
      </c>
    </row>
    <row r="18" spans="2:5" ht="15.75">
      <c r="B18" s="116" t="s">
        <v>105</v>
      </c>
      <c r="C18" s="116" t="s">
        <v>105</v>
      </c>
      <c r="D18" s="119">
        <v>0</v>
      </c>
      <c r="E18" s="116">
        <v>0</v>
      </c>
    </row>
    <row r="19" spans="2:5" ht="15.75">
      <c r="B19" s="116" t="s">
        <v>104</v>
      </c>
      <c r="C19" s="116" t="s">
        <v>104</v>
      </c>
      <c r="D19" s="119">
        <v>0</v>
      </c>
      <c r="E19" s="116">
        <v>0</v>
      </c>
    </row>
    <row r="20" spans="2:5" ht="15.75">
      <c r="B20" s="116" t="s">
        <v>103</v>
      </c>
      <c r="C20" s="116" t="s">
        <v>103</v>
      </c>
      <c r="D20" s="119">
        <v>0</v>
      </c>
      <c r="E20" s="116">
        <v>0</v>
      </c>
    </row>
    <row r="21" spans="2:5" ht="15.75">
      <c r="B21" s="116" t="s">
        <v>102</v>
      </c>
      <c r="C21" s="116" t="s">
        <v>102</v>
      </c>
      <c r="D21" s="119">
        <v>0</v>
      </c>
      <c r="E21" s="116">
        <v>0</v>
      </c>
    </row>
    <row r="22" spans="2:5" ht="15.75">
      <c r="B22" s="116" t="s">
        <v>101</v>
      </c>
      <c r="C22" s="116" t="s">
        <v>101</v>
      </c>
      <c r="D22" s="119">
        <v>0</v>
      </c>
      <c r="E22" s="116">
        <v>0</v>
      </c>
    </row>
    <row r="23" spans="2:5" ht="15.75">
      <c r="B23" s="116" t="s">
        <v>100</v>
      </c>
      <c r="C23" s="116" t="s">
        <v>100</v>
      </c>
      <c r="D23" s="119">
        <v>0</v>
      </c>
      <c r="E23" s="116">
        <v>0</v>
      </c>
    </row>
    <row r="24" spans="2:5" ht="15.75">
      <c r="B24" s="116" t="s">
        <v>37</v>
      </c>
      <c r="C24" s="116" t="s">
        <v>99</v>
      </c>
      <c r="D24" s="119">
        <v>0</v>
      </c>
      <c r="E24" s="116">
        <v>3.3000000000000002E-2</v>
      </c>
    </row>
    <row r="25" spans="2:5" ht="15.75">
      <c r="B25" s="116" t="s">
        <v>37</v>
      </c>
      <c r="C25" s="116" t="s">
        <v>98</v>
      </c>
      <c r="D25" s="119">
        <v>0</v>
      </c>
      <c r="E25" s="116">
        <v>2.0299999999999999E-2</v>
      </c>
    </row>
    <row r="26" spans="2:5" ht="15.75">
      <c r="B26" s="116" t="s">
        <v>37</v>
      </c>
      <c r="C26" s="116" t="s">
        <v>97</v>
      </c>
      <c r="D26" s="119">
        <v>0</v>
      </c>
      <c r="E26" s="116">
        <v>0.02</v>
      </c>
    </row>
    <row r="27" spans="2:5" ht="15.75">
      <c r="C27" s="116" t="s">
        <v>96</v>
      </c>
      <c r="D27" s="119">
        <v>1.2922510678900429E-2</v>
      </c>
      <c r="E27" s="116">
        <v>0</v>
      </c>
    </row>
    <row r="28" spans="2:5" ht="15.75">
      <c r="B28" s="116" t="s">
        <v>37</v>
      </c>
      <c r="C28" s="116" t="s">
        <v>95</v>
      </c>
      <c r="D28" s="119">
        <v>0</v>
      </c>
      <c r="E28" s="116">
        <v>7.4999999999999997E-2</v>
      </c>
    </row>
    <row r="29" spans="2:5" s="118" customFormat="1"/>
    <row r="68" spans="3:3">
      <c r="C68" s="117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D15" sqref="D15"/>
    </sheetView>
  </sheetViews>
  <sheetFormatPr defaultRowHeight="14.25"/>
  <cols>
    <col min="1" max="1" width="9" style="116"/>
    <col min="2" max="2" width="13.875" style="116" bestFit="1" customWidth="1"/>
    <col min="3" max="3" width="11.875" style="116" bestFit="1" customWidth="1"/>
    <col min="4" max="16384" width="9" style="116"/>
  </cols>
  <sheetData>
    <row r="1" spans="1:3" s="118" customFormat="1"/>
    <row r="2" spans="1:3">
      <c r="A2" s="120" t="s">
        <v>124</v>
      </c>
    </row>
    <row r="4" spans="1:3">
      <c r="B4" s="124" t="s">
        <v>123</v>
      </c>
      <c r="C4" s="124" t="s">
        <v>119</v>
      </c>
    </row>
    <row r="5" spans="1:3">
      <c r="B5" s="125" t="s">
        <v>40</v>
      </c>
      <c r="C5" s="125">
        <v>0.51090000000000002</v>
      </c>
    </row>
    <row r="6" spans="1:3">
      <c r="B6" s="125" t="s">
        <v>39</v>
      </c>
      <c r="C6" s="125">
        <v>0.41510000000000002</v>
      </c>
    </row>
    <row r="7" spans="1:3">
      <c r="B7" s="125" t="s">
        <v>38</v>
      </c>
      <c r="C7" s="125">
        <v>5.2299999999999999E-2</v>
      </c>
    </row>
    <row r="8" spans="1:3">
      <c r="B8" s="125" t="s">
        <v>37</v>
      </c>
      <c r="C8" s="125">
        <v>1.0358475020753337E-3</v>
      </c>
    </row>
    <row r="9" spans="1:3" s="118" customFormat="1"/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1"/>
  <sheetViews>
    <sheetView workbookViewId="0">
      <selection activeCell="C5" sqref="C5"/>
    </sheetView>
  </sheetViews>
  <sheetFormatPr defaultRowHeight="14.25"/>
  <cols>
    <col min="1" max="1" width="9" style="116"/>
    <col min="2" max="2" width="38.25" style="116" bestFit="1" customWidth="1"/>
    <col min="3" max="3" width="36.125" style="116" bestFit="1" customWidth="1"/>
    <col min="4" max="16384" width="9" style="116"/>
  </cols>
  <sheetData>
    <row r="2" spans="1:3">
      <c r="A2" s="120" t="s">
        <v>132</v>
      </c>
    </row>
    <row r="4" spans="1:3">
      <c r="B4" s="120" t="s">
        <v>155</v>
      </c>
      <c r="C4" s="120" t="s">
        <v>131</v>
      </c>
    </row>
    <row r="5" spans="1:3">
      <c r="B5" s="116" t="s">
        <v>130</v>
      </c>
      <c r="C5" s="123">
        <v>45657</v>
      </c>
    </row>
    <row r="6" spans="1:3">
      <c r="B6" s="116" t="s">
        <v>129</v>
      </c>
      <c r="C6" s="116">
        <v>3.7562355150938309E-2</v>
      </c>
    </row>
    <row r="7" spans="1:3">
      <c r="B7" s="116" t="s">
        <v>128</v>
      </c>
      <c r="C7" s="117" t="s">
        <v>127</v>
      </c>
    </row>
    <row r="8" spans="1:3">
      <c r="B8" s="116" t="s">
        <v>153</v>
      </c>
      <c r="C8" s="116">
        <v>1</v>
      </c>
    </row>
    <row r="9" spans="1:3">
      <c r="B9" s="116" t="s">
        <v>126</v>
      </c>
      <c r="C9" s="116">
        <v>332.49053302727589</v>
      </c>
    </row>
    <row r="10" spans="1:3">
      <c r="B10" s="116" t="s">
        <v>125</v>
      </c>
      <c r="C10" s="116">
        <v>0</v>
      </c>
    </row>
    <row r="11" spans="1:3">
      <c r="B11" s="126" t="s">
        <v>152</v>
      </c>
      <c r="C11" s="116" t="s">
        <v>87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L18"/>
  <sheetViews>
    <sheetView workbookViewId="0">
      <selection activeCell="O29" sqref="O29"/>
    </sheetView>
  </sheetViews>
  <sheetFormatPr defaultRowHeight="14.25"/>
  <cols>
    <col min="1" max="1" width="19.125" style="116" bestFit="1" customWidth="1"/>
    <col min="2" max="16384" width="9" style="116"/>
  </cols>
  <sheetData>
    <row r="2" spans="1:142">
      <c r="A2" s="120" t="s">
        <v>139</v>
      </c>
    </row>
    <row r="4" spans="1:142">
      <c r="B4" s="120" t="s">
        <v>135</v>
      </c>
      <c r="C4" s="120">
        <v>0</v>
      </c>
      <c r="D4" s="120">
        <v>1</v>
      </c>
      <c r="E4" s="120">
        <v>2</v>
      </c>
      <c r="F4" s="120">
        <v>3</v>
      </c>
      <c r="G4" s="120">
        <v>4</v>
      </c>
      <c r="H4" s="120">
        <v>5</v>
      </c>
      <c r="I4" s="120">
        <v>6</v>
      </c>
      <c r="J4" s="120">
        <v>7</v>
      </c>
      <c r="K4" s="120">
        <v>8</v>
      </c>
      <c r="L4" s="120">
        <v>9</v>
      </c>
      <c r="M4" s="120">
        <v>10</v>
      </c>
      <c r="N4" s="120">
        <v>11</v>
      </c>
      <c r="O4" s="120">
        <v>12</v>
      </c>
      <c r="P4" s="120">
        <v>13</v>
      </c>
      <c r="Q4" s="120">
        <v>14</v>
      </c>
      <c r="R4" s="120">
        <v>15</v>
      </c>
      <c r="S4" s="120">
        <v>16</v>
      </c>
      <c r="T4" s="120">
        <v>17</v>
      </c>
      <c r="U4" s="120">
        <v>18</v>
      </c>
      <c r="V4" s="120">
        <v>19</v>
      </c>
      <c r="W4" s="120">
        <v>20</v>
      </c>
      <c r="X4" s="120">
        <v>21</v>
      </c>
      <c r="Y4" s="120">
        <v>22</v>
      </c>
      <c r="Z4" s="120">
        <v>23</v>
      </c>
      <c r="AA4" s="120">
        <v>24</v>
      </c>
      <c r="AB4" s="120">
        <v>25</v>
      </c>
      <c r="AC4" s="120">
        <v>26</v>
      </c>
      <c r="AD4" s="120">
        <v>27</v>
      </c>
      <c r="AE4" s="120">
        <v>28</v>
      </c>
      <c r="AF4" s="120">
        <v>29</v>
      </c>
      <c r="AG4" s="120">
        <v>30</v>
      </c>
      <c r="AH4" s="120">
        <v>31</v>
      </c>
      <c r="AI4" s="120">
        <v>32</v>
      </c>
      <c r="AJ4" s="120">
        <v>33</v>
      </c>
      <c r="AK4" s="120">
        <v>34</v>
      </c>
      <c r="AL4" s="120">
        <v>35</v>
      </c>
      <c r="AM4" s="120">
        <v>36</v>
      </c>
      <c r="AN4" s="120">
        <v>37</v>
      </c>
      <c r="AO4" s="120">
        <v>38</v>
      </c>
      <c r="AP4" s="120">
        <v>39</v>
      </c>
      <c r="AQ4" s="120">
        <v>40</v>
      </c>
      <c r="AR4" s="120">
        <v>41</v>
      </c>
      <c r="AS4" s="120">
        <v>42</v>
      </c>
      <c r="AT4" s="120">
        <v>43</v>
      </c>
      <c r="AU4" s="120">
        <v>44</v>
      </c>
      <c r="AV4" s="120">
        <v>45</v>
      </c>
      <c r="AW4" s="120">
        <v>46</v>
      </c>
      <c r="AX4" s="120">
        <v>47</v>
      </c>
      <c r="AY4" s="120">
        <v>48</v>
      </c>
      <c r="AZ4" s="120">
        <v>49</v>
      </c>
      <c r="BA4" s="120">
        <v>50</v>
      </c>
      <c r="BB4" s="120">
        <v>51</v>
      </c>
      <c r="BC4" s="120">
        <v>52</v>
      </c>
      <c r="BD4" s="120">
        <v>53</v>
      </c>
      <c r="BE4" s="120">
        <v>54</v>
      </c>
      <c r="BF4" s="120">
        <v>55</v>
      </c>
      <c r="BG4" s="120">
        <v>56</v>
      </c>
      <c r="BH4" s="120">
        <v>57</v>
      </c>
      <c r="BI4" s="120">
        <v>58</v>
      </c>
      <c r="BJ4" s="120">
        <v>59</v>
      </c>
      <c r="BK4" s="120">
        <v>60</v>
      </c>
      <c r="BL4" s="120">
        <v>61</v>
      </c>
      <c r="BM4" s="120">
        <v>62</v>
      </c>
      <c r="BN4" s="120">
        <v>63</v>
      </c>
      <c r="BO4" s="120">
        <v>64</v>
      </c>
      <c r="BP4" s="120">
        <v>65</v>
      </c>
      <c r="BQ4" s="120">
        <v>66</v>
      </c>
      <c r="BR4" s="120">
        <v>67</v>
      </c>
      <c r="BS4" s="120">
        <v>68</v>
      </c>
      <c r="BT4" s="120">
        <v>69</v>
      </c>
      <c r="BU4" s="120">
        <v>70</v>
      </c>
      <c r="BV4" s="120">
        <v>71</v>
      </c>
      <c r="BW4" s="120">
        <v>72</v>
      </c>
      <c r="BX4" s="120">
        <v>73</v>
      </c>
      <c r="BY4" s="120">
        <v>74</v>
      </c>
      <c r="BZ4" s="120">
        <v>75</v>
      </c>
      <c r="CA4" s="120">
        <v>76</v>
      </c>
      <c r="CB4" s="120">
        <v>77</v>
      </c>
      <c r="CC4" s="120">
        <v>78</v>
      </c>
      <c r="CD4" s="120">
        <v>79</v>
      </c>
      <c r="CE4" s="120">
        <v>80</v>
      </c>
      <c r="CF4" s="120">
        <v>81</v>
      </c>
      <c r="CG4" s="120">
        <v>82</v>
      </c>
      <c r="CH4" s="120">
        <v>83</v>
      </c>
      <c r="CI4" s="120">
        <v>84</v>
      </c>
      <c r="CJ4" s="120">
        <v>85</v>
      </c>
      <c r="CK4" s="120">
        <v>86</v>
      </c>
      <c r="CL4" s="120">
        <v>87</v>
      </c>
      <c r="CM4" s="120">
        <v>88</v>
      </c>
      <c r="CN4" s="120">
        <v>89</v>
      </c>
      <c r="CO4" s="120">
        <v>90</v>
      </c>
      <c r="CP4" s="120">
        <v>91</v>
      </c>
      <c r="CQ4" s="120">
        <v>92</v>
      </c>
      <c r="CR4" s="120">
        <v>93</v>
      </c>
      <c r="CS4" s="120">
        <v>94</v>
      </c>
      <c r="CT4" s="120">
        <v>95</v>
      </c>
      <c r="CU4" s="120">
        <v>96</v>
      </c>
      <c r="CV4" s="120">
        <v>97</v>
      </c>
      <c r="CW4" s="120">
        <v>98</v>
      </c>
      <c r="CX4" s="120">
        <v>99</v>
      </c>
      <c r="CY4" s="120">
        <v>100</v>
      </c>
      <c r="CZ4" s="120">
        <v>101</v>
      </c>
      <c r="DA4" s="120">
        <v>102</v>
      </c>
      <c r="DB4" s="120">
        <v>103</v>
      </c>
      <c r="DC4" s="120">
        <v>104</v>
      </c>
      <c r="DD4" s="120">
        <v>105</v>
      </c>
      <c r="DE4" s="120">
        <v>106</v>
      </c>
      <c r="DF4" s="120">
        <v>107</v>
      </c>
      <c r="DG4" s="120">
        <v>108</v>
      </c>
      <c r="DH4" s="120">
        <v>109</v>
      </c>
      <c r="DI4" s="120">
        <v>110</v>
      </c>
      <c r="DJ4" s="120">
        <v>111</v>
      </c>
      <c r="DK4" s="120">
        <v>112</v>
      </c>
      <c r="DL4" s="120">
        <v>113</v>
      </c>
      <c r="DM4" s="120">
        <v>114</v>
      </c>
      <c r="DN4" s="120">
        <v>115</v>
      </c>
      <c r="DO4" s="120">
        <v>116</v>
      </c>
      <c r="DP4" s="120">
        <v>117</v>
      </c>
      <c r="DQ4" s="120">
        <v>118</v>
      </c>
      <c r="DR4" s="120">
        <v>119</v>
      </c>
      <c r="DS4" s="120">
        <v>120</v>
      </c>
      <c r="DT4" s="120">
        <v>121</v>
      </c>
      <c r="DU4" s="120">
        <v>122</v>
      </c>
      <c r="DV4" s="120">
        <v>123</v>
      </c>
      <c r="DW4" s="120">
        <v>124</v>
      </c>
      <c r="DX4" s="120">
        <v>125</v>
      </c>
      <c r="DY4" s="120">
        <v>126</v>
      </c>
      <c r="DZ4" s="120">
        <v>127</v>
      </c>
      <c r="EA4" s="120">
        <v>128</v>
      </c>
      <c r="EB4" s="120">
        <v>129</v>
      </c>
      <c r="EC4" s="120">
        <v>130</v>
      </c>
      <c r="ED4" s="120">
        <v>131</v>
      </c>
      <c r="EE4" s="120">
        <v>132</v>
      </c>
      <c r="EF4" s="120">
        <v>133</v>
      </c>
      <c r="EG4" s="120">
        <v>134</v>
      </c>
      <c r="EH4" s="120">
        <v>135</v>
      </c>
      <c r="EI4" s="120">
        <v>136</v>
      </c>
      <c r="EJ4" s="120">
        <v>137</v>
      </c>
      <c r="EK4" s="120">
        <v>138</v>
      </c>
      <c r="EL4" s="120">
        <v>139</v>
      </c>
    </row>
    <row r="5" spans="1:142">
      <c r="B5" s="121" t="s">
        <v>134</v>
      </c>
      <c r="C5" s="116">
        <v>4.8043054896631548E-2</v>
      </c>
      <c r="D5" s="116">
        <v>4.8043054896631548E-2</v>
      </c>
      <c r="E5" s="116">
        <v>4.9711455696857879E-2</v>
      </c>
      <c r="F5" s="116">
        <v>4.9856755434005591E-2</v>
      </c>
      <c r="G5" s="116">
        <v>5.2259553160484931E-2</v>
      </c>
      <c r="H5" s="116">
        <v>5.1185393544841487E-2</v>
      </c>
      <c r="I5" s="116">
        <v>5.3872841348491289E-2</v>
      </c>
      <c r="J5" s="116">
        <v>5.3715968773086389E-2</v>
      </c>
      <c r="K5" s="116">
        <v>5.2437051727942996E-2</v>
      </c>
      <c r="L5" s="116">
        <v>5.6987299063422807E-2</v>
      </c>
      <c r="M5" s="116">
        <v>5.4232662689153853E-2</v>
      </c>
      <c r="N5" s="116">
        <v>5.4993281746313759E-2</v>
      </c>
      <c r="O5" s="116">
        <v>5.7087028151334228E-2</v>
      </c>
      <c r="P5" s="116">
        <v>5.8617229368233235E-2</v>
      </c>
      <c r="Q5" s="116">
        <v>5.9632239097141958E-2</v>
      </c>
      <c r="R5" s="116">
        <v>6.0135742602536728E-2</v>
      </c>
      <c r="S5" s="116">
        <v>6.0123965541044641E-2</v>
      </c>
      <c r="T5" s="116">
        <v>5.9697232241644929E-2</v>
      </c>
      <c r="U5" s="116">
        <v>5.896210652210291E-2</v>
      </c>
      <c r="V5" s="116">
        <v>5.7903198769885214E-2</v>
      </c>
      <c r="W5" s="116">
        <v>5.6377640117275078E-2</v>
      </c>
      <c r="X5" s="116">
        <v>5.4421530893916749E-2</v>
      </c>
      <c r="Y5" s="116">
        <v>5.2658790019214398E-2</v>
      </c>
      <c r="Z5" s="116">
        <v>5.1110432914407998E-2</v>
      </c>
      <c r="AA5" s="116">
        <v>4.9886907316057938E-2</v>
      </c>
      <c r="AB5" s="116">
        <v>4.8835908572078396E-2</v>
      </c>
      <c r="AC5" s="116">
        <v>4.8220407879933293E-2</v>
      </c>
      <c r="AD5" s="116">
        <v>4.75930836784796E-2</v>
      </c>
      <c r="AE5" s="116">
        <v>4.6613885004111129E-2</v>
      </c>
      <c r="AF5" s="116">
        <v>4.5347564561713537E-2</v>
      </c>
      <c r="AG5" s="116">
        <v>4.5439316211453987E-2</v>
      </c>
      <c r="AH5" s="116">
        <v>4.467351686332343E-2</v>
      </c>
      <c r="AI5" s="116">
        <v>4.4622224223271417E-2</v>
      </c>
      <c r="AJ5" s="116">
        <v>4.4651238962601418E-2</v>
      </c>
      <c r="AK5" s="116">
        <v>4.4671168269066107E-2</v>
      </c>
      <c r="AL5" s="116">
        <v>4.4470992430948909E-2</v>
      </c>
      <c r="AM5" s="116">
        <v>4.5130960327927246E-2</v>
      </c>
      <c r="AN5" s="116">
        <v>4.4711977302395137E-2</v>
      </c>
      <c r="AO5" s="116">
        <v>4.415304387841603E-2</v>
      </c>
      <c r="AP5" s="116">
        <v>4.1986915015989675E-2</v>
      </c>
      <c r="AQ5" s="116">
        <v>4.078561375902396E-2</v>
      </c>
      <c r="AR5" s="116">
        <v>4.081572244072626E-2</v>
      </c>
      <c r="AS5" s="116">
        <v>4.0835991547586353E-2</v>
      </c>
      <c r="AT5" s="116">
        <v>4.094722920595735E-2</v>
      </c>
      <c r="AU5" s="116">
        <v>3.9912542510178804E-2</v>
      </c>
      <c r="AV5" s="116">
        <v>3.9775433093394111E-2</v>
      </c>
      <c r="AW5" s="116">
        <v>3.9484649561639891E-2</v>
      </c>
      <c r="AX5" s="116">
        <v>3.9507661114530863E-2</v>
      </c>
      <c r="AY5" s="116" t="s">
        <v>138</v>
      </c>
      <c r="AZ5" s="116" t="s">
        <v>138</v>
      </c>
      <c r="BA5" s="116" t="s">
        <v>138</v>
      </c>
      <c r="BB5" s="116">
        <v>0</v>
      </c>
      <c r="BC5" s="116">
        <v>0</v>
      </c>
      <c r="BD5" s="116">
        <v>0</v>
      </c>
      <c r="BE5" s="116">
        <v>0</v>
      </c>
      <c r="BF5" s="116">
        <v>0</v>
      </c>
      <c r="BG5" s="116">
        <v>0</v>
      </c>
      <c r="BH5" s="116">
        <v>0</v>
      </c>
      <c r="BI5" s="116">
        <v>0</v>
      </c>
      <c r="BJ5" s="116">
        <v>0</v>
      </c>
      <c r="BK5" s="116">
        <v>0</v>
      </c>
      <c r="BL5" s="116">
        <v>0</v>
      </c>
      <c r="BM5" s="116">
        <v>0</v>
      </c>
      <c r="BN5" s="116">
        <v>0</v>
      </c>
      <c r="BO5" s="116">
        <v>0</v>
      </c>
      <c r="BP5" s="116">
        <v>0</v>
      </c>
      <c r="BQ5" s="116">
        <v>0</v>
      </c>
      <c r="BR5" s="116">
        <v>0</v>
      </c>
      <c r="BS5" s="116">
        <v>0</v>
      </c>
      <c r="BT5" s="116">
        <v>0</v>
      </c>
      <c r="BU5" s="116">
        <v>0</v>
      </c>
      <c r="BV5" s="116">
        <v>0</v>
      </c>
      <c r="BW5" s="116">
        <v>0</v>
      </c>
      <c r="BX5" s="116">
        <v>0</v>
      </c>
      <c r="BY5" s="116">
        <v>0</v>
      </c>
      <c r="BZ5" s="116">
        <v>0</v>
      </c>
      <c r="CA5" s="116">
        <v>0</v>
      </c>
      <c r="CB5" s="116">
        <v>0</v>
      </c>
      <c r="CC5" s="116">
        <v>0</v>
      </c>
      <c r="CD5" s="116">
        <v>0</v>
      </c>
      <c r="CE5" s="116">
        <v>0</v>
      </c>
      <c r="CF5" s="116">
        <v>0</v>
      </c>
      <c r="CG5" s="116">
        <v>0</v>
      </c>
      <c r="CH5" s="116">
        <v>0</v>
      </c>
      <c r="CI5" s="116">
        <v>0</v>
      </c>
      <c r="CJ5" s="116">
        <v>0</v>
      </c>
      <c r="CK5" s="116">
        <v>0</v>
      </c>
      <c r="CL5" s="116">
        <v>0</v>
      </c>
      <c r="CM5" s="116">
        <v>0</v>
      </c>
      <c r="CN5" s="116">
        <v>0</v>
      </c>
      <c r="CO5" s="116">
        <v>0</v>
      </c>
      <c r="CP5" s="116">
        <v>0</v>
      </c>
      <c r="CQ5" s="116">
        <v>0</v>
      </c>
      <c r="CR5" s="116">
        <v>0</v>
      </c>
      <c r="CS5" s="116">
        <v>0</v>
      </c>
      <c r="CT5" s="116">
        <v>0</v>
      </c>
      <c r="CU5" s="116">
        <v>0</v>
      </c>
      <c r="CV5" s="116">
        <v>0</v>
      </c>
      <c r="CW5" s="116">
        <v>0</v>
      </c>
      <c r="CX5" s="116">
        <v>0</v>
      </c>
      <c r="CY5" s="116">
        <v>0</v>
      </c>
      <c r="CZ5" s="116">
        <v>0</v>
      </c>
      <c r="DA5" s="116">
        <v>0</v>
      </c>
      <c r="DB5" s="116">
        <v>0</v>
      </c>
      <c r="DC5" s="116">
        <v>0</v>
      </c>
      <c r="DD5" s="116">
        <v>0</v>
      </c>
      <c r="DE5" s="116">
        <v>0</v>
      </c>
      <c r="DF5" s="116">
        <v>0</v>
      </c>
      <c r="DG5" s="116">
        <v>0</v>
      </c>
      <c r="DH5" s="116">
        <v>0</v>
      </c>
      <c r="DI5" s="116">
        <v>0</v>
      </c>
      <c r="DJ5" s="116">
        <v>0</v>
      </c>
      <c r="DK5" s="116">
        <v>0</v>
      </c>
      <c r="DL5" s="116">
        <v>0</v>
      </c>
      <c r="DM5" s="116">
        <v>0</v>
      </c>
      <c r="DN5" s="116">
        <v>0</v>
      </c>
      <c r="DO5" s="116">
        <v>0</v>
      </c>
      <c r="DP5" s="116">
        <v>0</v>
      </c>
      <c r="DQ5" s="116">
        <v>0</v>
      </c>
      <c r="DR5" s="116">
        <v>0</v>
      </c>
      <c r="DS5" s="116">
        <v>0</v>
      </c>
      <c r="DT5" s="116">
        <v>0</v>
      </c>
      <c r="DU5" s="116">
        <v>0</v>
      </c>
      <c r="DV5" s="116">
        <v>0</v>
      </c>
      <c r="DW5" s="116">
        <v>0</v>
      </c>
      <c r="DX5" s="116">
        <v>0</v>
      </c>
      <c r="DY5" s="116">
        <v>0</v>
      </c>
      <c r="DZ5" s="116">
        <v>0</v>
      </c>
      <c r="EA5" s="116">
        <v>0</v>
      </c>
      <c r="EB5" s="116">
        <v>0</v>
      </c>
      <c r="EC5" s="116">
        <v>0</v>
      </c>
      <c r="ED5" s="116">
        <v>0</v>
      </c>
      <c r="EE5" s="116">
        <v>0</v>
      </c>
      <c r="EF5" s="116">
        <v>0</v>
      </c>
      <c r="EG5" s="116">
        <v>0</v>
      </c>
      <c r="EH5" s="116">
        <v>0</v>
      </c>
      <c r="EI5" s="116">
        <v>0</v>
      </c>
      <c r="EJ5" s="116">
        <v>0</v>
      </c>
      <c r="EK5" s="116">
        <v>0</v>
      </c>
      <c r="EL5" s="116">
        <v>0</v>
      </c>
    </row>
    <row r="6" spans="1:142">
      <c r="B6" s="121" t="s">
        <v>133</v>
      </c>
      <c r="C6" s="116">
        <v>0</v>
      </c>
      <c r="D6" s="116">
        <v>0</v>
      </c>
      <c r="E6" s="116">
        <v>0</v>
      </c>
      <c r="F6" s="116">
        <v>0</v>
      </c>
      <c r="G6" s="116">
        <v>0</v>
      </c>
      <c r="H6" s="116">
        <v>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  <c r="O6" s="116">
        <v>0</v>
      </c>
      <c r="P6" s="116">
        <v>0</v>
      </c>
      <c r="Q6" s="116">
        <v>0</v>
      </c>
      <c r="R6" s="116">
        <v>0</v>
      </c>
      <c r="S6" s="116">
        <v>0</v>
      </c>
      <c r="T6" s="116">
        <v>0</v>
      </c>
      <c r="U6" s="116">
        <v>0</v>
      </c>
      <c r="V6" s="116">
        <v>0</v>
      </c>
      <c r="W6" s="116">
        <v>0</v>
      </c>
      <c r="X6" s="116">
        <v>0</v>
      </c>
      <c r="Y6" s="116">
        <v>0</v>
      </c>
      <c r="Z6" s="116">
        <v>0</v>
      </c>
      <c r="AA6" s="116">
        <v>0</v>
      </c>
      <c r="AB6" s="116">
        <v>0</v>
      </c>
      <c r="AC6" s="116">
        <v>0</v>
      </c>
      <c r="AD6" s="116">
        <v>0</v>
      </c>
      <c r="AE6" s="116">
        <v>0</v>
      </c>
      <c r="AF6" s="116">
        <v>0</v>
      </c>
      <c r="AG6" s="116">
        <v>0</v>
      </c>
      <c r="AH6" s="116">
        <v>0</v>
      </c>
      <c r="AI6" s="116">
        <v>0</v>
      </c>
      <c r="AJ6" s="116">
        <v>0</v>
      </c>
      <c r="AK6" s="116">
        <v>0</v>
      </c>
      <c r="AL6" s="116">
        <v>0</v>
      </c>
      <c r="AM6" s="116">
        <v>0</v>
      </c>
      <c r="AN6" s="116">
        <v>0</v>
      </c>
      <c r="AO6" s="116">
        <v>0</v>
      </c>
      <c r="AP6" s="116">
        <v>0</v>
      </c>
      <c r="AQ6" s="116">
        <v>0</v>
      </c>
      <c r="AR6" s="116">
        <v>0</v>
      </c>
      <c r="AS6" s="116">
        <v>0</v>
      </c>
      <c r="AT6" s="116">
        <v>0</v>
      </c>
      <c r="AU6" s="116">
        <v>0</v>
      </c>
      <c r="AV6" s="116">
        <v>0</v>
      </c>
      <c r="AW6" s="116">
        <v>0</v>
      </c>
      <c r="AX6" s="116">
        <v>0</v>
      </c>
      <c r="AY6" s="116">
        <v>0</v>
      </c>
      <c r="AZ6" s="116">
        <v>0</v>
      </c>
      <c r="BA6" s="116">
        <v>0</v>
      </c>
      <c r="BB6" s="116">
        <v>0</v>
      </c>
      <c r="BC6" s="116">
        <v>0</v>
      </c>
      <c r="BD6" s="116">
        <v>0</v>
      </c>
      <c r="BE6" s="116">
        <v>0</v>
      </c>
      <c r="BF6" s="116">
        <v>0</v>
      </c>
      <c r="BG6" s="116">
        <v>0</v>
      </c>
      <c r="BH6" s="116">
        <v>0</v>
      </c>
      <c r="BI6" s="116">
        <v>0</v>
      </c>
      <c r="BJ6" s="116">
        <v>0</v>
      </c>
      <c r="BK6" s="116">
        <v>0</v>
      </c>
      <c r="BL6" s="116">
        <v>0</v>
      </c>
      <c r="BM6" s="116">
        <v>0</v>
      </c>
      <c r="BN6" s="116">
        <v>0</v>
      </c>
      <c r="BO6" s="116">
        <v>0</v>
      </c>
      <c r="BP6" s="116">
        <v>0</v>
      </c>
      <c r="BQ6" s="116">
        <v>0</v>
      </c>
      <c r="BR6" s="116">
        <v>0</v>
      </c>
      <c r="BS6" s="116">
        <v>0</v>
      </c>
      <c r="BT6" s="116">
        <v>0</v>
      </c>
      <c r="BU6" s="116">
        <v>0</v>
      </c>
      <c r="BV6" s="116">
        <v>0</v>
      </c>
      <c r="BW6" s="116">
        <v>0</v>
      </c>
      <c r="BX6" s="116">
        <v>0</v>
      </c>
      <c r="BY6" s="116">
        <v>0</v>
      </c>
      <c r="BZ6" s="116">
        <v>0</v>
      </c>
      <c r="CA6" s="116">
        <v>0</v>
      </c>
      <c r="CB6" s="116">
        <v>0</v>
      </c>
      <c r="CC6" s="116">
        <v>0</v>
      </c>
      <c r="CD6" s="116">
        <v>0</v>
      </c>
      <c r="CE6" s="116">
        <v>0</v>
      </c>
      <c r="CF6" s="116">
        <v>0</v>
      </c>
      <c r="CG6" s="116">
        <v>0</v>
      </c>
      <c r="CH6" s="116">
        <v>0</v>
      </c>
      <c r="CI6" s="116">
        <v>0</v>
      </c>
      <c r="CJ6" s="116">
        <v>0</v>
      </c>
      <c r="CK6" s="116">
        <v>0</v>
      </c>
      <c r="CL6" s="116">
        <v>0</v>
      </c>
      <c r="CM6" s="116">
        <v>0</v>
      </c>
      <c r="CN6" s="116">
        <v>0</v>
      </c>
      <c r="CO6" s="116">
        <v>0</v>
      </c>
      <c r="CP6" s="116">
        <v>0</v>
      </c>
      <c r="CQ6" s="116">
        <v>0</v>
      </c>
      <c r="CR6" s="116">
        <v>0</v>
      </c>
      <c r="CS6" s="116">
        <v>0</v>
      </c>
      <c r="CT6" s="116">
        <v>0</v>
      </c>
      <c r="CU6" s="116">
        <v>0</v>
      </c>
      <c r="CV6" s="116">
        <v>0</v>
      </c>
      <c r="CW6" s="116">
        <v>0</v>
      </c>
      <c r="CX6" s="116">
        <v>0</v>
      </c>
      <c r="CY6" s="116">
        <v>0</v>
      </c>
      <c r="CZ6" s="116">
        <v>0</v>
      </c>
      <c r="DA6" s="116">
        <v>0</v>
      </c>
      <c r="DB6" s="116">
        <v>0</v>
      </c>
      <c r="DC6" s="116">
        <v>0</v>
      </c>
      <c r="DD6" s="116">
        <v>0</v>
      </c>
      <c r="DE6" s="116">
        <v>0</v>
      </c>
      <c r="DF6" s="116">
        <v>0</v>
      </c>
      <c r="DG6" s="116">
        <v>0</v>
      </c>
      <c r="DH6" s="116">
        <v>0</v>
      </c>
      <c r="DI6" s="116">
        <v>0</v>
      </c>
      <c r="DJ6" s="116">
        <v>0</v>
      </c>
      <c r="DK6" s="116">
        <v>0</v>
      </c>
      <c r="DL6" s="116">
        <v>0</v>
      </c>
      <c r="DM6" s="116">
        <v>0</v>
      </c>
      <c r="DN6" s="116">
        <v>0</v>
      </c>
      <c r="DO6" s="116">
        <v>0</v>
      </c>
      <c r="DP6" s="116">
        <v>0</v>
      </c>
      <c r="DQ6" s="116">
        <v>0</v>
      </c>
      <c r="DR6" s="116">
        <v>0</v>
      </c>
      <c r="DS6" s="116">
        <v>0</v>
      </c>
      <c r="DT6" s="116">
        <v>0</v>
      </c>
      <c r="DU6" s="116">
        <v>0</v>
      </c>
      <c r="DV6" s="116">
        <v>0</v>
      </c>
      <c r="DW6" s="116">
        <v>0</v>
      </c>
      <c r="DX6" s="116">
        <v>0</v>
      </c>
      <c r="DY6" s="116">
        <v>0</v>
      </c>
      <c r="DZ6" s="116">
        <v>0</v>
      </c>
      <c r="EA6" s="116">
        <v>0</v>
      </c>
      <c r="EB6" s="116">
        <v>0</v>
      </c>
      <c r="EC6" s="116">
        <v>0</v>
      </c>
      <c r="ED6" s="116">
        <v>0</v>
      </c>
      <c r="EE6" s="116">
        <v>0</v>
      </c>
      <c r="EF6" s="116">
        <v>0</v>
      </c>
      <c r="EG6" s="116">
        <v>0</v>
      </c>
      <c r="EH6" s="116">
        <v>0</v>
      </c>
      <c r="EI6" s="116">
        <v>0</v>
      </c>
      <c r="EJ6" s="116">
        <v>0</v>
      </c>
      <c r="EK6" s="116">
        <v>0</v>
      </c>
      <c r="EL6" s="116">
        <v>0</v>
      </c>
    </row>
    <row r="7" spans="1:142">
      <c r="B7" s="121" t="s">
        <v>113</v>
      </c>
      <c r="C7" s="116">
        <v>0</v>
      </c>
      <c r="D7" s="116">
        <v>0</v>
      </c>
      <c r="E7" s="116">
        <v>0</v>
      </c>
      <c r="F7" s="116">
        <v>0</v>
      </c>
      <c r="G7" s="116">
        <v>0</v>
      </c>
      <c r="H7" s="116">
        <v>0</v>
      </c>
      <c r="I7" s="116">
        <v>0</v>
      </c>
      <c r="J7" s="116">
        <v>0</v>
      </c>
      <c r="K7" s="116">
        <v>0</v>
      </c>
      <c r="L7" s="116">
        <v>0</v>
      </c>
      <c r="M7" s="116">
        <v>0</v>
      </c>
      <c r="N7" s="116">
        <v>0</v>
      </c>
      <c r="O7" s="116">
        <v>0</v>
      </c>
      <c r="P7" s="116">
        <v>0</v>
      </c>
      <c r="Q7" s="116">
        <v>0</v>
      </c>
      <c r="R7" s="116">
        <v>0</v>
      </c>
      <c r="S7" s="116">
        <v>0</v>
      </c>
      <c r="T7" s="116">
        <v>0</v>
      </c>
      <c r="U7" s="116">
        <v>0</v>
      </c>
      <c r="V7" s="116">
        <v>0</v>
      </c>
      <c r="W7" s="116">
        <v>0</v>
      </c>
      <c r="X7" s="116">
        <v>0</v>
      </c>
      <c r="Y7" s="116">
        <v>0</v>
      </c>
      <c r="Z7" s="116">
        <v>0</v>
      </c>
      <c r="AA7" s="116">
        <v>0</v>
      </c>
      <c r="AB7" s="116">
        <v>0</v>
      </c>
      <c r="AC7" s="116">
        <v>0</v>
      </c>
      <c r="AD7" s="116">
        <v>0</v>
      </c>
      <c r="AE7" s="116">
        <v>0</v>
      </c>
      <c r="AF7" s="116">
        <v>0</v>
      </c>
      <c r="AG7" s="116">
        <v>0</v>
      </c>
      <c r="AH7" s="116">
        <v>0</v>
      </c>
      <c r="AI7" s="116">
        <v>0</v>
      </c>
      <c r="AJ7" s="116">
        <v>0</v>
      </c>
      <c r="AK7" s="116">
        <v>0</v>
      </c>
      <c r="AL7" s="116">
        <v>0</v>
      </c>
      <c r="AM7" s="116">
        <v>0</v>
      </c>
      <c r="AN7" s="116">
        <v>0</v>
      </c>
      <c r="AO7" s="116">
        <v>0</v>
      </c>
      <c r="AP7" s="116">
        <v>0</v>
      </c>
      <c r="AQ7" s="116">
        <v>0</v>
      </c>
      <c r="AR7" s="116">
        <v>0</v>
      </c>
      <c r="AS7" s="116">
        <v>0</v>
      </c>
      <c r="AT7" s="116">
        <v>0</v>
      </c>
      <c r="AU7" s="116">
        <v>0</v>
      </c>
      <c r="AV7" s="116">
        <v>0</v>
      </c>
      <c r="AW7" s="116">
        <v>0</v>
      </c>
      <c r="AX7" s="116">
        <v>0</v>
      </c>
      <c r="AY7" s="116">
        <v>0</v>
      </c>
      <c r="AZ7" s="116">
        <v>0</v>
      </c>
      <c r="BA7" s="116">
        <v>0</v>
      </c>
      <c r="BB7" s="116">
        <v>0</v>
      </c>
      <c r="BC7" s="116">
        <v>0</v>
      </c>
      <c r="BD7" s="116">
        <v>0</v>
      </c>
      <c r="BE7" s="116">
        <v>0</v>
      </c>
      <c r="BF7" s="116">
        <v>0</v>
      </c>
      <c r="BG7" s="116">
        <v>0</v>
      </c>
      <c r="BH7" s="116">
        <v>0</v>
      </c>
      <c r="BI7" s="116">
        <v>0</v>
      </c>
      <c r="BJ7" s="116">
        <v>0</v>
      </c>
      <c r="BK7" s="116">
        <v>0</v>
      </c>
      <c r="BL7" s="116">
        <v>0</v>
      </c>
      <c r="BM7" s="116">
        <v>0</v>
      </c>
      <c r="BN7" s="116">
        <v>0</v>
      </c>
      <c r="BO7" s="116">
        <v>0</v>
      </c>
      <c r="BP7" s="116">
        <v>0</v>
      </c>
      <c r="BQ7" s="116">
        <v>0</v>
      </c>
      <c r="BR7" s="116">
        <v>0</v>
      </c>
      <c r="BS7" s="116">
        <v>0</v>
      </c>
      <c r="BT7" s="116">
        <v>0</v>
      </c>
      <c r="BU7" s="116">
        <v>0</v>
      </c>
      <c r="BV7" s="116">
        <v>0</v>
      </c>
      <c r="BW7" s="116">
        <v>0</v>
      </c>
      <c r="BX7" s="116">
        <v>0</v>
      </c>
      <c r="BY7" s="116">
        <v>0</v>
      </c>
      <c r="BZ7" s="116">
        <v>0</v>
      </c>
      <c r="CA7" s="116">
        <v>0</v>
      </c>
      <c r="CB7" s="116">
        <v>0</v>
      </c>
      <c r="CC7" s="116">
        <v>0</v>
      </c>
      <c r="CD7" s="116">
        <v>0</v>
      </c>
      <c r="CE7" s="116">
        <v>0</v>
      </c>
      <c r="CF7" s="116">
        <v>0</v>
      </c>
      <c r="CG7" s="116">
        <v>0</v>
      </c>
      <c r="CH7" s="116">
        <v>0</v>
      </c>
      <c r="CI7" s="116">
        <v>0</v>
      </c>
      <c r="CJ7" s="116">
        <v>0</v>
      </c>
      <c r="CK7" s="116">
        <v>0</v>
      </c>
      <c r="CL7" s="116">
        <v>0</v>
      </c>
      <c r="CM7" s="116">
        <v>0</v>
      </c>
      <c r="CN7" s="116">
        <v>0</v>
      </c>
      <c r="CO7" s="116">
        <v>0</v>
      </c>
      <c r="CP7" s="116">
        <v>0</v>
      </c>
      <c r="CQ7" s="116">
        <v>0</v>
      </c>
      <c r="CR7" s="116">
        <v>0</v>
      </c>
      <c r="CS7" s="116">
        <v>0</v>
      </c>
      <c r="CT7" s="116">
        <v>0</v>
      </c>
      <c r="CU7" s="116">
        <v>0</v>
      </c>
      <c r="CV7" s="116">
        <v>0</v>
      </c>
      <c r="CW7" s="116">
        <v>0</v>
      </c>
      <c r="CX7" s="116">
        <v>0</v>
      </c>
      <c r="CY7" s="116">
        <v>0</v>
      </c>
      <c r="CZ7" s="116">
        <v>0</v>
      </c>
      <c r="DA7" s="116">
        <v>0</v>
      </c>
      <c r="DB7" s="116">
        <v>0</v>
      </c>
      <c r="DC7" s="116">
        <v>0</v>
      </c>
      <c r="DD7" s="116">
        <v>0</v>
      </c>
      <c r="DE7" s="116">
        <v>0</v>
      </c>
      <c r="DF7" s="116">
        <v>0</v>
      </c>
      <c r="DG7" s="116">
        <v>0</v>
      </c>
      <c r="DH7" s="116">
        <v>0</v>
      </c>
      <c r="DI7" s="116">
        <v>0</v>
      </c>
      <c r="DJ7" s="116">
        <v>0</v>
      </c>
      <c r="DK7" s="116">
        <v>0</v>
      </c>
      <c r="DL7" s="116">
        <v>0</v>
      </c>
      <c r="DM7" s="116">
        <v>0</v>
      </c>
      <c r="DN7" s="116">
        <v>0</v>
      </c>
      <c r="DO7" s="116">
        <v>0</v>
      </c>
      <c r="DP7" s="116">
        <v>0</v>
      </c>
      <c r="DQ7" s="116">
        <v>0</v>
      </c>
      <c r="DR7" s="116">
        <v>0</v>
      </c>
      <c r="DS7" s="116">
        <v>0</v>
      </c>
      <c r="DT7" s="116">
        <v>0</v>
      </c>
      <c r="DU7" s="116">
        <v>0</v>
      </c>
      <c r="DV7" s="116">
        <v>0</v>
      </c>
      <c r="DW7" s="116">
        <v>0</v>
      </c>
      <c r="DX7" s="116">
        <v>0</v>
      </c>
      <c r="DY7" s="116">
        <v>0</v>
      </c>
      <c r="DZ7" s="116">
        <v>0</v>
      </c>
      <c r="EA7" s="116">
        <v>0</v>
      </c>
      <c r="EB7" s="116">
        <v>0</v>
      </c>
      <c r="EC7" s="116">
        <v>0</v>
      </c>
      <c r="ED7" s="116">
        <v>0</v>
      </c>
      <c r="EE7" s="116">
        <v>0</v>
      </c>
      <c r="EF7" s="116">
        <v>0</v>
      </c>
      <c r="EG7" s="116">
        <v>0</v>
      </c>
      <c r="EH7" s="116">
        <v>0</v>
      </c>
      <c r="EI7" s="116">
        <v>0</v>
      </c>
      <c r="EJ7" s="116">
        <v>0</v>
      </c>
      <c r="EK7" s="116">
        <v>0</v>
      </c>
      <c r="EL7" s="116">
        <v>0</v>
      </c>
    </row>
    <row r="8" spans="1:142">
      <c r="B8" s="121" t="s">
        <v>137</v>
      </c>
      <c r="C8" s="116">
        <v>4.8043054896631548E-2</v>
      </c>
      <c r="D8" s="116">
        <v>4.8043054896631548E-2</v>
      </c>
      <c r="E8" s="116">
        <v>4.9711455696857879E-2</v>
      </c>
      <c r="F8" s="116">
        <v>4.9856755434005591E-2</v>
      </c>
      <c r="G8" s="116">
        <v>5.2259553160484931E-2</v>
      </c>
      <c r="H8" s="116">
        <v>5.1185393544841487E-2</v>
      </c>
      <c r="I8" s="116">
        <v>5.3872841348491289E-2</v>
      </c>
      <c r="J8" s="116">
        <v>5.3715968773086389E-2</v>
      </c>
      <c r="K8" s="116">
        <v>5.2437051727942996E-2</v>
      </c>
      <c r="L8" s="116">
        <v>5.6987299063422807E-2</v>
      </c>
      <c r="M8" s="116">
        <v>5.4232662689153853E-2</v>
      </c>
      <c r="N8" s="116">
        <v>5.4993281746313759E-2</v>
      </c>
      <c r="O8" s="116">
        <v>5.7087028151334228E-2</v>
      </c>
      <c r="P8" s="116">
        <v>5.8617229368233235E-2</v>
      </c>
      <c r="Q8" s="116">
        <v>5.9632239097141958E-2</v>
      </c>
      <c r="R8" s="116">
        <v>6.0135742602536728E-2</v>
      </c>
      <c r="S8" s="116">
        <v>6.0123965541044641E-2</v>
      </c>
      <c r="T8" s="116">
        <v>5.9697232241644929E-2</v>
      </c>
      <c r="U8" s="116">
        <v>5.896210652210291E-2</v>
      </c>
      <c r="V8" s="116">
        <v>5.7903198769885214E-2</v>
      </c>
      <c r="W8" s="116">
        <v>5.6377640117275078E-2</v>
      </c>
      <c r="X8" s="116">
        <v>5.4421530893916749E-2</v>
      </c>
      <c r="Y8" s="116">
        <v>5.2658790019214398E-2</v>
      </c>
      <c r="Z8" s="116">
        <v>5.1110432914407998E-2</v>
      </c>
      <c r="AA8" s="116">
        <v>4.9886907316057938E-2</v>
      </c>
      <c r="AB8" s="116">
        <v>4.8835908572078396E-2</v>
      </c>
      <c r="AC8" s="116">
        <v>4.8220407879933293E-2</v>
      </c>
      <c r="AD8" s="116">
        <v>4.75930836784796E-2</v>
      </c>
      <c r="AE8" s="116">
        <v>4.6613885004111129E-2</v>
      </c>
      <c r="AF8" s="116">
        <v>4.5347564561713537E-2</v>
      </c>
      <c r="AG8" s="116">
        <v>4.5439316211453987E-2</v>
      </c>
      <c r="AH8" s="116">
        <v>4.467351686332343E-2</v>
      </c>
      <c r="AI8" s="116">
        <v>4.4622224223271417E-2</v>
      </c>
      <c r="AJ8" s="116">
        <v>4.4651238962601418E-2</v>
      </c>
      <c r="AK8" s="116">
        <v>4.4671168269066107E-2</v>
      </c>
      <c r="AL8" s="116">
        <v>4.4470992430948909E-2</v>
      </c>
      <c r="AM8" s="116">
        <v>4.5130960327927246E-2</v>
      </c>
      <c r="AN8" s="116">
        <v>4.4711977302395137E-2</v>
      </c>
      <c r="AO8" s="116">
        <v>4.415304387841603E-2</v>
      </c>
      <c r="AP8" s="116">
        <v>4.1986915015989675E-2</v>
      </c>
      <c r="AQ8" s="116">
        <v>4.078561375902396E-2</v>
      </c>
      <c r="AR8" s="116">
        <v>4.081572244072626E-2</v>
      </c>
      <c r="AS8" s="116">
        <v>4.0835991547586353E-2</v>
      </c>
      <c r="AT8" s="116">
        <v>4.094722920595735E-2</v>
      </c>
      <c r="AU8" s="116">
        <v>3.9912542510178804E-2</v>
      </c>
      <c r="AV8" s="116">
        <v>3.9775433093394111E-2</v>
      </c>
      <c r="AW8" s="116">
        <v>3.9484649561639891E-2</v>
      </c>
      <c r="AX8" s="116">
        <v>3.9507661114530863E-2</v>
      </c>
      <c r="AY8" s="116">
        <v>0</v>
      </c>
      <c r="AZ8" s="116">
        <v>0</v>
      </c>
      <c r="BA8" s="116">
        <v>0</v>
      </c>
      <c r="BB8" s="116">
        <v>0</v>
      </c>
      <c r="BC8" s="116">
        <v>0</v>
      </c>
      <c r="BD8" s="116">
        <v>0</v>
      </c>
      <c r="BE8" s="116">
        <v>0</v>
      </c>
      <c r="BF8" s="116">
        <v>0</v>
      </c>
      <c r="BG8" s="116">
        <v>0</v>
      </c>
      <c r="BH8" s="116">
        <v>0</v>
      </c>
      <c r="BI8" s="116">
        <v>0</v>
      </c>
      <c r="BJ8" s="116">
        <v>0</v>
      </c>
      <c r="BK8" s="116">
        <v>0</v>
      </c>
      <c r="BL8" s="116">
        <v>0</v>
      </c>
      <c r="BM8" s="116">
        <v>0</v>
      </c>
      <c r="BN8" s="116">
        <v>0</v>
      </c>
      <c r="BO8" s="116">
        <v>0</v>
      </c>
      <c r="BP8" s="116">
        <v>0</v>
      </c>
      <c r="BQ8" s="116">
        <v>0</v>
      </c>
      <c r="BR8" s="116">
        <v>0</v>
      </c>
      <c r="BS8" s="116">
        <v>0</v>
      </c>
      <c r="BT8" s="116">
        <v>0</v>
      </c>
      <c r="BU8" s="116">
        <v>0</v>
      </c>
      <c r="BV8" s="116">
        <v>0</v>
      </c>
      <c r="BW8" s="116">
        <v>0</v>
      </c>
      <c r="BX8" s="116">
        <v>0</v>
      </c>
      <c r="BY8" s="116">
        <v>0</v>
      </c>
      <c r="BZ8" s="116">
        <v>0</v>
      </c>
      <c r="CA8" s="116">
        <v>0</v>
      </c>
      <c r="CB8" s="116">
        <v>0</v>
      </c>
      <c r="CC8" s="116">
        <v>0</v>
      </c>
      <c r="CD8" s="116">
        <v>0</v>
      </c>
      <c r="CE8" s="116">
        <v>0</v>
      </c>
      <c r="CF8" s="116">
        <v>0</v>
      </c>
      <c r="CG8" s="116">
        <v>0</v>
      </c>
      <c r="CH8" s="116">
        <v>0</v>
      </c>
      <c r="CI8" s="116">
        <v>0</v>
      </c>
      <c r="CJ8" s="116">
        <v>0</v>
      </c>
      <c r="CK8" s="116">
        <v>0</v>
      </c>
      <c r="CL8" s="116">
        <v>0</v>
      </c>
      <c r="CM8" s="116">
        <v>0</v>
      </c>
      <c r="CN8" s="116">
        <v>0</v>
      </c>
      <c r="CO8" s="116">
        <v>0</v>
      </c>
      <c r="CP8" s="116">
        <v>0</v>
      </c>
      <c r="CQ8" s="116">
        <v>0</v>
      </c>
      <c r="CR8" s="116">
        <v>0</v>
      </c>
      <c r="CS8" s="116">
        <v>0</v>
      </c>
      <c r="CT8" s="116">
        <v>0</v>
      </c>
      <c r="CU8" s="116">
        <v>0</v>
      </c>
      <c r="CV8" s="116">
        <v>0</v>
      </c>
      <c r="CW8" s="116">
        <v>0</v>
      </c>
      <c r="CX8" s="116">
        <v>0</v>
      </c>
      <c r="CY8" s="116">
        <v>0</v>
      </c>
      <c r="CZ8" s="116">
        <v>0</v>
      </c>
      <c r="DA8" s="116">
        <v>0</v>
      </c>
      <c r="DB8" s="116">
        <v>0</v>
      </c>
      <c r="DC8" s="116">
        <v>0</v>
      </c>
      <c r="DD8" s="116">
        <v>0</v>
      </c>
      <c r="DE8" s="116">
        <v>0</v>
      </c>
      <c r="DF8" s="116">
        <v>0</v>
      </c>
      <c r="DG8" s="116">
        <v>0</v>
      </c>
      <c r="DH8" s="116">
        <v>0</v>
      </c>
      <c r="DI8" s="116">
        <v>0</v>
      </c>
      <c r="DJ8" s="116">
        <v>0</v>
      </c>
      <c r="DK8" s="116">
        <v>0</v>
      </c>
      <c r="DL8" s="116">
        <v>0</v>
      </c>
      <c r="DM8" s="116">
        <v>0</v>
      </c>
      <c r="DN8" s="116">
        <v>0</v>
      </c>
      <c r="DO8" s="116">
        <v>0</v>
      </c>
      <c r="DP8" s="116">
        <v>0</v>
      </c>
      <c r="DQ8" s="116">
        <v>0</v>
      </c>
      <c r="DR8" s="116">
        <v>0</v>
      </c>
      <c r="DS8" s="116">
        <v>0</v>
      </c>
      <c r="DT8" s="116">
        <v>0</v>
      </c>
      <c r="DU8" s="116">
        <v>0</v>
      </c>
      <c r="DV8" s="116">
        <v>0</v>
      </c>
      <c r="DW8" s="116">
        <v>0</v>
      </c>
      <c r="DX8" s="116">
        <v>0</v>
      </c>
      <c r="DY8" s="116">
        <v>0</v>
      </c>
      <c r="DZ8" s="116">
        <v>0</v>
      </c>
      <c r="EA8" s="116">
        <v>0</v>
      </c>
      <c r="EB8" s="116">
        <v>0</v>
      </c>
      <c r="EC8" s="116">
        <v>0</v>
      </c>
      <c r="ED8" s="116">
        <v>0</v>
      </c>
      <c r="EE8" s="116">
        <v>0</v>
      </c>
      <c r="EF8" s="116">
        <v>0</v>
      </c>
      <c r="EG8" s="116">
        <v>0</v>
      </c>
      <c r="EH8" s="116">
        <v>0</v>
      </c>
      <c r="EI8" s="116">
        <v>0</v>
      </c>
      <c r="EJ8" s="116">
        <v>0</v>
      </c>
      <c r="EK8" s="116">
        <v>0</v>
      </c>
      <c r="EL8" s="116">
        <v>0</v>
      </c>
    </row>
    <row r="9" spans="1:142" s="118" customFormat="1"/>
    <row r="11" spans="1:142">
      <c r="A11" s="120" t="s">
        <v>136</v>
      </c>
    </row>
    <row r="13" spans="1:142">
      <c r="B13" s="120" t="s">
        <v>135</v>
      </c>
      <c r="C13" s="120">
        <v>0</v>
      </c>
      <c r="D13" s="120">
        <v>1</v>
      </c>
      <c r="E13" s="120">
        <v>2</v>
      </c>
      <c r="F13" s="120">
        <v>3</v>
      </c>
      <c r="G13" s="120">
        <v>4</v>
      </c>
      <c r="H13" s="120">
        <v>5</v>
      </c>
      <c r="I13" s="120">
        <v>6</v>
      </c>
      <c r="J13" s="120">
        <v>7</v>
      </c>
      <c r="K13" s="120">
        <v>8</v>
      </c>
      <c r="L13" s="120">
        <v>9</v>
      </c>
      <c r="M13" s="120">
        <v>10</v>
      </c>
      <c r="N13" s="120">
        <v>11</v>
      </c>
      <c r="O13" s="120">
        <v>12</v>
      </c>
      <c r="P13" s="120">
        <v>13</v>
      </c>
      <c r="Q13" s="120">
        <v>14</v>
      </c>
      <c r="R13" s="120">
        <v>15</v>
      </c>
      <c r="S13" s="120">
        <v>16</v>
      </c>
      <c r="T13" s="120">
        <v>17</v>
      </c>
      <c r="U13" s="120">
        <v>18</v>
      </c>
      <c r="V13" s="120">
        <v>19</v>
      </c>
      <c r="W13" s="120">
        <v>20</v>
      </c>
      <c r="X13" s="120">
        <v>21</v>
      </c>
      <c r="Y13" s="120">
        <v>22</v>
      </c>
      <c r="Z13" s="120">
        <v>23</v>
      </c>
      <c r="AA13" s="120">
        <v>24</v>
      </c>
      <c r="AB13" s="120">
        <v>25</v>
      </c>
      <c r="AC13" s="120">
        <v>26</v>
      </c>
      <c r="AD13" s="120">
        <v>27</v>
      </c>
      <c r="AE13" s="120">
        <v>28</v>
      </c>
      <c r="AF13" s="120">
        <v>29</v>
      </c>
      <c r="AG13" s="120">
        <v>30</v>
      </c>
      <c r="AH13" s="120">
        <v>31</v>
      </c>
      <c r="AI13" s="120">
        <v>32</v>
      </c>
      <c r="AJ13" s="120">
        <v>33</v>
      </c>
      <c r="AK13" s="120">
        <v>34</v>
      </c>
      <c r="AL13" s="120">
        <v>35</v>
      </c>
      <c r="AM13" s="120">
        <v>36</v>
      </c>
      <c r="AN13" s="120">
        <v>37</v>
      </c>
      <c r="AO13" s="120">
        <v>38</v>
      </c>
      <c r="AP13" s="120">
        <v>39</v>
      </c>
      <c r="AQ13" s="120">
        <v>40</v>
      </c>
      <c r="AR13" s="120">
        <v>41</v>
      </c>
      <c r="AS13" s="120">
        <v>42</v>
      </c>
      <c r="AT13" s="120">
        <v>43</v>
      </c>
      <c r="AU13" s="120">
        <v>44</v>
      </c>
      <c r="AV13" s="120">
        <v>45</v>
      </c>
      <c r="AW13" s="120">
        <v>46</v>
      </c>
      <c r="AX13" s="120">
        <v>47</v>
      </c>
      <c r="AY13" s="120">
        <v>48</v>
      </c>
      <c r="AZ13" s="120">
        <v>49</v>
      </c>
      <c r="BA13" s="120">
        <v>50</v>
      </c>
      <c r="BB13" s="120">
        <v>51</v>
      </c>
      <c r="BC13" s="120">
        <v>52</v>
      </c>
      <c r="BD13" s="120">
        <v>53</v>
      </c>
      <c r="BE13" s="120">
        <v>54</v>
      </c>
      <c r="BF13" s="120">
        <v>55</v>
      </c>
      <c r="BG13" s="120">
        <v>56</v>
      </c>
      <c r="BH13" s="120">
        <v>57</v>
      </c>
      <c r="BI13" s="120">
        <v>58</v>
      </c>
      <c r="BJ13" s="120">
        <v>59</v>
      </c>
      <c r="BK13" s="120">
        <v>60</v>
      </c>
      <c r="BL13" s="120">
        <v>61</v>
      </c>
      <c r="BM13" s="120">
        <v>62</v>
      </c>
      <c r="BN13" s="120">
        <v>63</v>
      </c>
      <c r="BO13" s="120">
        <v>64</v>
      </c>
      <c r="BP13" s="120">
        <v>65</v>
      </c>
      <c r="BQ13" s="120">
        <v>66</v>
      </c>
      <c r="BR13" s="120">
        <v>67</v>
      </c>
      <c r="BS13" s="120">
        <v>68</v>
      </c>
      <c r="BT13" s="120">
        <v>69</v>
      </c>
      <c r="BU13" s="120">
        <v>70</v>
      </c>
      <c r="BV13" s="120">
        <v>71</v>
      </c>
      <c r="BW13" s="120">
        <v>72</v>
      </c>
      <c r="BX13" s="120">
        <v>73</v>
      </c>
      <c r="BY13" s="120">
        <v>74</v>
      </c>
      <c r="BZ13" s="120">
        <v>75</v>
      </c>
      <c r="CA13" s="120">
        <v>76</v>
      </c>
      <c r="CB13" s="120">
        <v>77</v>
      </c>
      <c r="CC13" s="120">
        <v>78</v>
      </c>
      <c r="CD13" s="120">
        <v>79</v>
      </c>
      <c r="CE13" s="120">
        <v>80</v>
      </c>
      <c r="CF13" s="120">
        <v>81</v>
      </c>
      <c r="CG13" s="120">
        <v>82</v>
      </c>
      <c r="CH13" s="120">
        <v>83</v>
      </c>
      <c r="CI13" s="120">
        <v>84</v>
      </c>
      <c r="CJ13" s="120">
        <v>85</v>
      </c>
      <c r="CK13" s="120">
        <v>86</v>
      </c>
      <c r="CL13" s="120">
        <v>87</v>
      </c>
      <c r="CM13" s="120">
        <v>88</v>
      </c>
      <c r="CN13" s="120">
        <v>89</v>
      </c>
      <c r="CO13" s="120">
        <v>90</v>
      </c>
      <c r="CP13" s="120">
        <v>91</v>
      </c>
      <c r="CQ13" s="120">
        <v>92</v>
      </c>
      <c r="CR13" s="120">
        <v>93</v>
      </c>
      <c r="CS13" s="120">
        <v>94</v>
      </c>
      <c r="CT13" s="120">
        <v>95</v>
      </c>
      <c r="CU13" s="120">
        <v>96</v>
      </c>
      <c r="CV13" s="120">
        <v>97</v>
      </c>
      <c r="CW13" s="120">
        <v>98</v>
      </c>
      <c r="CX13" s="120">
        <v>99</v>
      </c>
      <c r="CY13" s="120">
        <v>100</v>
      </c>
      <c r="CZ13" s="120">
        <v>101</v>
      </c>
      <c r="DA13" s="120">
        <v>102</v>
      </c>
      <c r="DB13" s="120">
        <v>103</v>
      </c>
      <c r="DC13" s="120">
        <v>104</v>
      </c>
      <c r="DD13" s="120">
        <v>105</v>
      </c>
      <c r="DE13" s="120">
        <v>106</v>
      </c>
      <c r="DF13" s="120">
        <v>107</v>
      </c>
      <c r="DG13" s="120">
        <v>108</v>
      </c>
      <c r="DH13" s="120">
        <v>109</v>
      </c>
      <c r="DI13" s="120">
        <v>110</v>
      </c>
      <c r="DJ13" s="120">
        <v>111</v>
      </c>
      <c r="DK13" s="120">
        <v>112</v>
      </c>
      <c r="DL13" s="120">
        <v>113</v>
      </c>
      <c r="DM13" s="120">
        <v>114</v>
      </c>
      <c r="DN13" s="120">
        <v>115</v>
      </c>
      <c r="DO13" s="120">
        <v>116</v>
      </c>
      <c r="DP13" s="120">
        <v>117</v>
      </c>
      <c r="DQ13" s="120">
        <v>118</v>
      </c>
      <c r="DR13" s="120">
        <v>119</v>
      </c>
      <c r="DS13" s="120">
        <v>120</v>
      </c>
      <c r="DT13" s="120">
        <v>121</v>
      </c>
      <c r="DU13" s="120">
        <v>122</v>
      </c>
      <c r="DV13" s="120">
        <v>123</v>
      </c>
      <c r="DW13" s="120">
        <v>124</v>
      </c>
      <c r="DX13" s="120">
        <v>125</v>
      </c>
      <c r="DY13" s="120">
        <v>126</v>
      </c>
      <c r="DZ13" s="120">
        <v>127</v>
      </c>
      <c r="EA13" s="120">
        <v>128</v>
      </c>
      <c r="EB13" s="120">
        <v>129</v>
      </c>
      <c r="EC13" s="120">
        <v>130</v>
      </c>
      <c r="ED13" s="120">
        <v>131</v>
      </c>
      <c r="EE13" s="120">
        <v>132</v>
      </c>
      <c r="EF13" s="120">
        <v>133</v>
      </c>
      <c r="EG13" s="120">
        <v>134</v>
      </c>
      <c r="EH13" s="120">
        <v>135</v>
      </c>
      <c r="EI13" s="120">
        <v>136</v>
      </c>
      <c r="EJ13" s="120">
        <v>137</v>
      </c>
      <c r="EK13" s="120">
        <v>138</v>
      </c>
      <c r="EL13" s="120">
        <v>139</v>
      </c>
    </row>
    <row r="14" spans="1:142">
      <c r="B14" s="116" t="s">
        <v>134</v>
      </c>
      <c r="C14" s="116">
        <v>178.08972454919956</v>
      </c>
      <c r="D14" s="116">
        <v>177.16345556358783</v>
      </c>
      <c r="E14" s="116">
        <v>177.64553591062301</v>
      </c>
      <c r="F14" s="116">
        <v>177.79139170626567</v>
      </c>
      <c r="G14" s="116">
        <v>178.29718380064875</v>
      </c>
      <c r="H14" s="116">
        <v>178.433542643961</v>
      </c>
      <c r="I14" s="116">
        <v>178.32230102633906</v>
      </c>
      <c r="J14" s="116">
        <v>179.09455542728981</v>
      </c>
      <c r="K14" s="116">
        <v>179.60815040348868</v>
      </c>
      <c r="L14" s="116">
        <v>174.52462482405579</v>
      </c>
      <c r="M14" s="116">
        <v>163.68689151316127</v>
      </c>
      <c r="N14" s="116">
        <v>160.22363329523066</v>
      </c>
      <c r="O14" s="116">
        <v>159.09711016795146</v>
      </c>
      <c r="P14" s="116">
        <v>159.55444205135129</v>
      </c>
      <c r="Q14" s="116">
        <v>160.82885267371861</v>
      </c>
      <c r="R14" s="116">
        <v>162.71473860379587</v>
      </c>
      <c r="S14" s="116">
        <v>163.97220147209077</v>
      </c>
      <c r="T14" s="116">
        <v>163.34119175541989</v>
      </c>
      <c r="U14" s="116">
        <v>163.73147544537412</v>
      </c>
      <c r="V14" s="116">
        <v>163.01615209773675</v>
      </c>
      <c r="W14" s="116">
        <v>162.25244992294614</v>
      </c>
      <c r="X14" s="116">
        <v>162.40821184860181</v>
      </c>
      <c r="Y14" s="116">
        <v>163.74534990955104</v>
      </c>
      <c r="Z14" s="116">
        <v>162.07375633404089</v>
      </c>
      <c r="AA14" s="116">
        <v>156.53468046510892</v>
      </c>
      <c r="AB14" s="116">
        <v>148.95121526415653</v>
      </c>
      <c r="AC14" s="116">
        <v>131.46967754998815</v>
      </c>
      <c r="AD14" s="116">
        <v>122.04362936422453</v>
      </c>
      <c r="AE14" s="116">
        <v>106.05458764755279</v>
      </c>
      <c r="AF14" s="116">
        <v>80.162205783981051</v>
      </c>
      <c r="AG14" s="116">
        <v>18.759052518939349</v>
      </c>
      <c r="AH14" s="116">
        <v>16.758923685262026</v>
      </c>
      <c r="AI14" s="116">
        <v>16.275032121899262</v>
      </c>
      <c r="AJ14" s="116">
        <v>16.454135511600001</v>
      </c>
      <c r="AK14" s="116">
        <v>16.641562886274802</v>
      </c>
      <c r="AL14" s="116">
        <v>16.124912213858927</v>
      </c>
      <c r="AM14" s="116">
        <v>12.489131460000229</v>
      </c>
      <c r="AN14" s="116">
        <v>11.190327976538086</v>
      </c>
      <c r="AO14" s="116">
        <v>10.363870425594104</v>
      </c>
      <c r="AP14" s="116">
        <v>7.7666067411799755</v>
      </c>
      <c r="AQ14" s="116">
        <v>7.0128750138718985</v>
      </c>
      <c r="AR14" s="116">
        <v>7.1354896415800289</v>
      </c>
      <c r="AS14" s="116">
        <v>7.2567396524857255</v>
      </c>
      <c r="AT14" s="116">
        <v>7.2451645013629404</v>
      </c>
      <c r="AU14" s="116">
        <v>6.8673983260753664</v>
      </c>
      <c r="AV14" s="116">
        <v>6.9167413430220099</v>
      </c>
      <c r="AW14" s="116">
        <v>6.8624090935299167</v>
      </c>
      <c r="AX14" s="116">
        <v>6.9775422904754318</v>
      </c>
      <c r="AY14" s="116">
        <v>0</v>
      </c>
      <c r="AZ14" s="116">
        <v>0</v>
      </c>
      <c r="BA14" s="116">
        <v>0</v>
      </c>
      <c r="BB14" s="116">
        <v>0</v>
      </c>
      <c r="BC14" s="116">
        <v>0</v>
      </c>
      <c r="BD14" s="116">
        <v>0</v>
      </c>
      <c r="BE14" s="116">
        <v>0</v>
      </c>
      <c r="BF14" s="116">
        <v>0</v>
      </c>
      <c r="BG14" s="116">
        <v>0</v>
      </c>
      <c r="BH14" s="116">
        <v>0</v>
      </c>
      <c r="BI14" s="116">
        <v>0</v>
      </c>
      <c r="BJ14" s="116">
        <v>0</v>
      </c>
      <c r="BK14" s="116">
        <v>0</v>
      </c>
      <c r="BL14" s="116">
        <v>0</v>
      </c>
      <c r="BM14" s="116">
        <v>0</v>
      </c>
      <c r="BN14" s="116">
        <v>0</v>
      </c>
      <c r="BO14" s="116">
        <v>0</v>
      </c>
      <c r="BP14" s="116">
        <v>0</v>
      </c>
      <c r="BQ14" s="116">
        <v>0</v>
      </c>
      <c r="BR14" s="116">
        <v>0</v>
      </c>
      <c r="BS14" s="116">
        <v>0</v>
      </c>
      <c r="BT14" s="116">
        <v>0</v>
      </c>
      <c r="BU14" s="116">
        <v>0</v>
      </c>
      <c r="BV14" s="116">
        <v>0</v>
      </c>
      <c r="BW14" s="116">
        <v>0</v>
      </c>
      <c r="BX14" s="116">
        <v>0</v>
      </c>
      <c r="BY14" s="116">
        <v>0</v>
      </c>
      <c r="BZ14" s="116">
        <v>0</v>
      </c>
      <c r="CA14" s="116">
        <v>0</v>
      </c>
      <c r="CB14" s="116">
        <v>0</v>
      </c>
      <c r="CC14" s="116">
        <v>0</v>
      </c>
      <c r="CD14" s="116">
        <v>0</v>
      </c>
      <c r="CE14" s="116">
        <v>0</v>
      </c>
      <c r="CF14" s="116">
        <v>0</v>
      </c>
      <c r="CG14" s="116">
        <v>0</v>
      </c>
      <c r="CH14" s="116">
        <v>0</v>
      </c>
      <c r="CI14" s="116">
        <v>0</v>
      </c>
      <c r="CJ14" s="116">
        <v>0</v>
      </c>
      <c r="CK14" s="116">
        <v>0</v>
      </c>
      <c r="CL14" s="116">
        <v>0</v>
      </c>
      <c r="CM14" s="116">
        <v>0</v>
      </c>
      <c r="CN14" s="116">
        <v>0</v>
      </c>
      <c r="CO14" s="116">
        <v>0</v>
      </c>
      <c r="CP14" s="116">
        <v>0</v>
      </c>
      <c r="CQ14" s="116">
        <v>0</v>
      </c>
      <c r="CR14" s="116">
        <v>0</v>
      </c>
      <c r="CS14" s="116">
        <v>0</v>
      </c>
      <c r="CT14" s="116">
        <v>0</v>
      </c>
      <c r="CU14" s="116">
        <v>0</v>
      </c>
      <c r="CV14" s="116">
        <v>0</v>
      </c>
      <c r="CW14" s="116">
        <v>0</v>
      </c>
      <c r="CX14" s="116">
        <v>0</v>
      </c>
      <c r="CY14" s="116">
        <v>0</v>
      </c>
      <c r="CZ14" s="116">
        <v>0</v>
      </c>
      <c r="DA14" s="116">
        <v>0</v>
      </c>
      <c r="DB14" s="116">
        <v>0</v>
      </c>
      <c r="DC14" s="116">
        <v>0</v>
      </c>
      <c r="DD14" s="116">
        <v>0</v>
      </c>
      <c r="DE14" s="116">
        <v>0</v>
      </c>
      <c r="DF14" s="116">
        <v>0</v>
      </c>
      <c r="DG14" s="116">
        <v>0</v>
      </c>
      <c r="DH14" s="116">
        <v>0</v>
      </c>
      <c r="DI14" s="116">
        <v>0</v>
      </c>
      <c r="DJ14" s="116">
        <v>0</v>
      </c>
      <c r="DK14" s="116">
        <v>0</v>
      </c>
      <c r="DL14" s="116">
        <v>0</v>
      </c>
      <c r="DM14" s="116">
        <v>0</v>
      </c>
      <c r="DN14" s="116">
        <v>0</v>
      </c>
      <c r="DO14" s="116">
        <v>0</v>
      </c>
      <c r="DP14" s="116">
        <v>0</v>
      </c>
      <c r="DQ14" s="116">
        <v>0</v>
      </c>
      <c r="DR14" s="116">
        <v>0</v>
      </c>
      <c r="DS14" s="116">
        <v>0</v>
      </c>
      <c r="DT14" s="116">
        <v>0</v>
      </c>
      <c r="DU14" s="116">
        <v>0</v>
      </c>
      <c r="DV14" s="116">
        <v>0</v>
      </c>
      <c r="DW14" s="116">
        <v>0</v>
      </c>
      <c r="DX14" s="116">
        <v>0</v>
      </c>
      <c r="DY14" s="116">
        <v>0</v>
      </c>
      <c r="DZ14" s="116">
        <v>0</v>
      </c>
      <c r="EA14" s="116">
        <v>0</v>
      </c>
      <c r="EB14" s="116">
        <v>0</v>
      </c>
      <c r="EC14" s="116">
        <v>0</v>
      </c>
      <c r="ED14" s="116">
        <v>0</v>
      </c>
      <c r="EE14" s="116">
        <v>0</v>
      </c>
      <c r="EF14" s="116">
        <v>0</v>
      </c>
      <c r="EG14" s="116">
        <v>0</v>
      </c>
      <c r="EH14" s="116">
        <v>0</v>
      </c>
      <c r="EI14" s="116">
        <v>0</v>
      </c>
      <c r="EJ14" s="116">
        <v>0</v>
      </c>
      <c r="EK14" s="116">
        <v>0</v>
      </c>
      <c r="EL14" s="116">
        <v>0</v>
      </c>
    </row>
    <row r="15" spans="1:142">
      <c r="B15" s="116" t="s">
        <v>133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0</v>
      </c>
      <c r="AJ15" s="116">
        <v>0</v>
      </c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  <c r="AS15" s="116">
        <v>0</v>
      </c>
      <c r="AT15" s="116">
        <v>0</v>
      </c>
      <c r="AU15" s="116">
        <v>0</v>
      </c>
      <c r="AV15" s="116">
        <v>0</v>
      </c>
      <c r="AW15" s="116">
        <v>0</v>
      </c>
      <c r="AX15" s="116">
        <v>0</v>
      </c>
      <c r="AY15" s="116">
        <v>0</v>
      </c>
      <c r="AZ15" s="116">
        <v>0</v>
      </c>
      <c r="BA15" s="116">
        <v>0</v>
      </c>
      <c r="BB15" s="116">
        <v>0</v>
      </c>
      <c r="BC15" s="116">
        <v>0</v>
      </c>
      <c r="BD15" s="116">
        <v>0</v>
      </c>
      <c r="BE15" s="116">
        <v>0</v>
      </c>
      <c r="BF15" s="116">
        <v>0</v>
      </c>
      <c r="BG15" s="116">
        <v>0</v>
      </c>
      <c r="BH15" s="116">
        <v>0</v>
      </c>
      <c r="BI15" s="116">
        <v>0</v>
      </c>
      <c r="BJ15" s="116">
        <v>0</v>
      </c>
      <c r="BK15" s="116">
        <v>0</v>
      </c>
      <c r="BL15" s="116">
        <v>0</v>
      </c>
      <c r="BM15" s="116">
        <v>0</v>
      </c>
      <c r="BN15" s="116">
        <v>0</v>
      </c>
      <c r="BO15" s="116">
        <v>0</v>
      </c>
      <c r="BP15" s="116">
        <v>0</v>
      </c>
      <c r="BQ15" s="116">
        <v>0</v>
      </c>
      <c r="BR15" s="116">
        <v>0</v>
      </c>
      <c r="BS15" s="116">
        <v>0</v>
      </c>
      <c r="BT15" s="116">
        <v>0</v>
      </c>
      <c r="BU15" s="116">
        <v>0</v>
      </c>
      <c r="BV15" s="116">
        <v>0</v>
      </c>
      <c r="BW15" s="116">
        <v>0</v>
      </c>
      <c r="BX15" s="116">
        <v>0</v>
      </c>
      <c r="BY15" s="116">
        <v>0</v>
      </c>
      <c r="BZ15" s="116">
        <v>0</v>
      </c>
      <c r="CA15" s="116">
        <v>0</v>
      </c>
      <c r="CB15" s="116">
        <v>0</v>
      </c>
      <c r="CC15" s="116">
        <v>0</v>
      </c>
      <c r="CD15" s="116">
        <v>0</v>
      </c>
      <c r="CE15" s="116">
        <v>0</v>
      </c>
      <c r="CF15" s="116">
        <v>0</v>
      </c>
      <c r="CG15" s="116">
        <v>0</v>
      </c>
      <c r="CH15" s="116">
        <v>0</v>
      </c>
      <c r="CI15" s="116">
        <v>0</v>
      </c>
      <c r="CJ15" s="116">
        <v>0</v>
      </c>
      <c r="CK15" s="116">
        <v>0</v>
      </c>
      <c r="CL15" s="116">
        <v>0</v>
      </c>
      <c r="CM15" s="116">
        <v>0</v>
      </c>
      <c r="CN15" s="116">
        <v>0</v>
      </c>
      <c r="CO15" s="116">
        <v>0</v>
      </c>
      <c r="CP15" s="116">
        <v>0</v>
      </c>
      <c r="CQ15" s="116">
        <v>0</v>
      </c>
      <c r="CR15" s="116">
        <v>0</v>
      </c>
      <c r="CS15" s="116">
        <v>0</v>
      </c>
      <c r="CT15" s="116">
        <v>0</v>
      </c>
      <c r="CU15" s="116">
        <v>0</v>
      </c>
      <c r="CV15" s="116">
        <v>0</v>
      </c>
      <c r="CW15" s="116">
        <v>0</v>
      </c>
      <c r="CX15" s="116">
        <v>0</v>
      </c>
      <c r="CY15" s="116">
        <v>0</v>
      </c>
      <c r="CZ15" s="116">
        <v>0</v>
      </c>
      <c r="DA15" s="116">
        <v>0</v>
      </c>
      <c r="DB15" s="116">
        <v>0</v>
      </c>
      <c r="DC15" s="116">
        <v>0</v>
      </c>
      <c r="DD15" s="116">
        <v>0</v>
      </c>
      <c r="DE15" s="116">
        <v>0</v>
      </c>
      <c r="DF15" s="116">
        <v>0</v>
      </c>
      <c r="DG15" s="116">
        <v>0</v>
      </c>
      <c r="DH15" s="116">
        <v>0</v>
      </c>
      <c r="DI15" s="116">
        <v>0</v>
      </c>
      <c r="DJ15" s="116">
        <v>0</v>
      </c>
      <c r="DK15" s="116">
        <v>0</v>
      </c>
      <c r="DL15" s="116">
        <v>0</v>
      </c>
      <c r="DM15" s="116">
        <v>0</v>
      </c>
      <c r="DN15" s="116">
        <v>0</v>
      </c>
      <c r="DO15" s="116">
        <v>0</v>
      </c>
      <c r="DP15" s="116">
        <v>0</v>
      </c>
      <c r="DQ15" s="116">
        <v>0</v>
      </c>
      <c r="DR15" s="116">
        <v>0</v>
      </c>
      <c r="DS15" s="116">
        <v>0</v>
      </c>
      <c r="DT15" s="116">
        <v>0</v>
      </c>
      <c r="DU15" s="116">
        <v>0</v>
      </c>
      <c r="DV15" s="116">
        <v>0</v>
      </c>
      <c r="DW15" s="116">
        <v>0</v>
      </c>
      <c r="DX15" s="116">
        <v>0</v>
      </c>
      <c r="DY15" s="116">
        <v>0</v>
      </c>
      <c r="DZ15" s="116">
        <v>0</v>
      </c>
      <c r="EA15" s="116">
        <v>0</v>
      </c>
      <c r="EB15" s="116">
        <v>0</v>
      </c>
      <c r="EC15" s="116">
        <v>0</v>
      </c>
      <c r="ED15" s="116">
        <v>0</v>
      </c>
      <c r="EE15" s="116">
        <v>0</v>
      </c>
      <c r="EF15" s="116">
        <v>0</v>
      </c>
      <c r="EG15" s="116">
        <v>0</v>
      </c>
      <c r="EH15" s="116">
        <v>0</v>
      </c>
      <c r="EI15" s="116">
        <v>0</v>
      </c>
      <c r="EJ15" s="116">
        <v>0</v>
      </c>
      <c r="EK15" s="116">
        <v>0</v>
      </c>
      <c r="EL15" s="116">
        <v>0</v>
      </c>
    </row>
    <row r="16" spans="1:142">
      <c r="B16" s="116" t="s">
        <v>113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  <c r="O16" s="116">
        <v>0</v>
      </c>
      <c r="P16" s="116">
        <v>0</v>
      </c>
      <c r="Q16" s="116">
        <v>0</v>
      </c>
      <c r="R16" s="116">
        <v>0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v>0</v>
      </c>
      <c r="AB16" s="116">
        <v>0</v>
      </c>
      <c r="AC16" s="116">
        <v>0</v>
      </c>
      <c r="AD16" s="116">
        <v>0</v>
      </c>
      <c r="AE16" s="116">
        <v>0</v>
      </c>
      <c r="AF16" s="116">
        <v>0</v>
      </c>
      <c r="AG16" s="116">
        <v>0</v>
      </c>
      <c r="AH16" s="116">
        <v>0</v>
      </c>
      <c r="AI16" s="116">
        <v>0</v>
      </c>
      <c r="AJ16" s="116">
        <v>0</v>
      </c>
      <c r="AK16" s="116">
        <v>0</v>
      </c>
      <c r="AL16" s="116">
        <v>0</v>
      </c>
      <c r="AM16" s="116">
        <v>0</v>
      </c>
      <c r="AN16" s="116">
        <v>0</v>
      </c>
      <c r="AO16" s="116">
        <v>0</v>
      </c>
      <c r="AP16" s="116">
        <v>0</v>
      </c>
      <c r="AQ16" s="116">
        <v>0</v>
      </c>
      <c r="AR16" s="116">
        <v>0</v>
      </c>
      <c r="AS16" s="116">
        <v>0</v>
      </c>
      <c r="AT16" s="116">
        <v>0</v>
      </c>
      <c r="AU16" s="116">
        <v>0</v>
      </c>
      <c r="AV16" s="116">
        <v>0</v>
      </c>
      <c r="AW16" s="116">
        <v>0</v>
      </c>
      <c r="AX16" s="116">
        <v>0</v>
      </c>
      <c r="AY16" s="116">
        <v>0</v>
      </c>
      <c r="AZ16" s="116">
        <v>0</v>
      </c>
      <c r="BA16" s="116">
        <v>0</v>
      </c>
      <c r="BB16" s="116">
        <v>0</v>
      </c>
      <c r="BC16" s="116">
        <v>0</v>
      </c>
      <c r="BD16" s="116">
        <v>0</v>
      </c>
      <c r="BE16" s="116">
        <v>0</v>
      </c>
      <c r="BF16" s="116">
        <v>0</v>
      </c>
      <c r="BG16" s="116">
        <v>0</v>
      </c>
      <c r="BH16" s="116">
        <v>0</v>
      </c>
      <c r="BI16" s="116">
        <v>0</v>
      </c>
      <c r="BJ16" s="116">
        <v>0</v>
      </c>
      <c r="BK16" s="116">
        <v>0</v>
      </c>
      <c r="BL16" s="116">
        <v>0</v>
      </c>
      <c r="BM16" s="116">
        <v>0</v>
      </c>
      <c r="BN16" s="116">
        <v>0</v>
      </c>
      <c r="BO16" s="116">
        <v>0</v>
      </c>
      <c r="BP16" s="116">
        <v>0</v>
      </c>
      <c r="BQ16" s="116">
        <v>0</v>
      </c>
      <c r="BR16" s="116">
        <v>0</v>
      </c>
      <c r="BS16" s="116">
        <v>0</v>
      </c>
      <c r="BT16" s="116">
        <v>0</v>
      </c>
      <c r="BU16" s="116">
        <v>0</v>
      </c>
      <c r="BV16" s="116">
        <v>0</v>
      </c>
      <c r="BW16" s="116">
        <v>0</v>
      </c>
      <c r="BX16" s="116">
        <v>0</v>
      </c>
      <c r="BY16" s="116">
        <v>0</v>
      </c>
      <c r="BZ16" s="116">
        <v>0</v>
      </c>
      <c r="CA16" s="116">
        <v>0</v>
      </c>
      <c r="CB16" s="116">
        <v>0</v>
      </c>
      <c r="CC16" s="116">
        <v>0</v>
      </c>
      <c r="CD16" s="116">
        <v>0</v>
      </c>
      <c r="CE16" s="116">
        <v>0</v>
      </c>
      <c r="CF16" s="116">
        <v>0</v>
      </c>
      <c r="CG16" s="116">
        <v>0</v>
      </c>
      <c r="CH16" s="116">
        <v>0</v>
      </c>
      <c r="CI16" s="116">
        <v>0</v>
      </c>
      <c r="CJ16" s="116">
        <v>0</v>
      </c>
      <c r="CK16" s="116">
        <v>0</v>
      </c>
      <c r="CL16" s="116">
        <v>0</v>
      </c>
      <c r="CM16" s="116">
        <v>0</v>
      </c>
      <c r="CN16" s="116">
        <v>0</v>
      </c>
      <c r="CO16" s="116">
        <v>0</v>
      </c>
      <c r="CP16" s="116">
        <v>0</v>
      </c>
      <c r="CQ16" s="116">
        <v>0</v>
      </c>
      <c r="CR16" s="116">
        <v>0</v>
      </c>
      <c r="CS16" s="116">
        <v>0</v>
      </c>
      <c r="CT16" s="116">
        <v>0</v>
      </c>
      <c r="CU16" s="116">
        <v>0</v>
      </c>
      <c r="CV16" s="116">
        <v>0</v>
      </c>
      <c r="CW16" s="116">
        <v>0</v>
      </c>
      <c r="CX16" s="116">
        <v>0</v>
      </c>
      <c r="CY16" s="116">
        <v>0</v>
      </c>
      <c r="CZ16" s="116">
        <v>0</v>
      </c>
      <c r="DA16" s="116">
        <v>0</v>
      </c>
      <c r="DB16" s="116">
        <v>0</v>
      </c>
      <c r="DC16" s="116">
        <v>0</v>
      </c>
      <c r="DD16" s="116">
        <v>0</v>
      </c>
      <c r="DE16" s="116">
        <v>0</v>
      </c>
      <c r="DF16" s="116">
        <v>0</v>
      </c>
      <c r="DG16" s="116">
        <v>0</v>
      </c>
      <c r="DH16" s="116">
        <v>0</v>
      </c>
      <c r="DI16" s="116">
        <v>0</v>
      </c>
      <c r="DJ16" s="116">
        <v>0</v>
      </c>
      <c r="DK16" s="116">
        <v>0</v>
      </c>
      <c r="DL16" s="116">
        <v>0</v>
      </c>
      <c r="DM16" s="116">
        <v>0</v>
      </c>
      <c r="DN16" s="116">
        <v>0</v>
      </c>
      <c r="DO16" s="116">
        <v>0</v>
      </c>
      <c r="DP16" s="116">
        <v>0</v>
      </c>
      <c r="DQ16" s="116">
        <v>0</v>
      </c>
      <c r="DR16" s="116">
        <v>0</v>
      </c>
      <c r="DS16" s="116">
        <v>0</v>
      </c>
      <c r="DT16" s="116">
        <v>0</v>
      </c>
      <c r="DU16" s="116">
        <v>0</v>
      </c>
      <c r="DV16" s="116">
        <v>0</v>
      </c>
      <c r="DW16" s="116">
        <v>0</v>
      </c>
      <c r="DX16" s="116">
        <v>0</v>
      </c>
      <c r="DY16" s="116">
        <v>0</v>
      </c>
      <c r="DZ16" s="116">
        <v>0</v>
      </c>
      <c r="EA16" s="116">
        <v>0</v>
      </c>
      <c r="EB16" s="116">
        <v>0</v>
      </c>
      <c r="EC16" s="116">
        <v>0</v>
      </c>
      <c r="ED16" s="116">
        <v>0</v>
      </c>
      <c r="EE16" s="116">
        <v>0</v>
      </c>
      <c r="EF16" s="116">
        <v>0</v>
      </c>
      <c r="EG16" s="116">
        <v>0</v>
      </c>
      <c r="EH16" s="116">
        <v>0</v>
      </c>
      <c r="EI16" s="116">
        <v>0</v>
      </c>
      <c r="EJ16" s="116">
        <v>0</v>
      </c>
      <c r="EK16" s="116">
        <v>0</v>
      </c>
      <c r="EL16" s="116">
        <v>0</v>
      </c>
    </row>
    <row r="18" s="118" customFormat="1"/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L23"/>
  <sheetViews>
    <sheetView workbookViewId="0">
      <selection activeCell="B17" sqref="B17"/>
    </sheetView>
  </sheetViews>
  <sheetFormatPr defaultRowHeight="14.25"/>
  <cols>
    <col min="1" max="1" width="9" style="116"/>
    <col min="2" max="2" width="22.75" style="116" bestFit="1" customWidth="1"/>
    <col min="3" max="16384" width="9" style="116"/>
  </cols>
  <sheetData>
    <row r="2" spans="1:142">
      <c r="A2" s="120" t="s">
        <v>151</v>
      </c>
    </row>
    <row r="4" spans="1:142">
      <c r="B4" s="120" t="s">
        <v>150</v>
      </c>
      <c r="C4" s="120">
        <v>0</v>
      </c>
      <c r="D4" s="120">
        <v>1</v>
      </c>
      <c r="E4" s="120">
        <v>2</v>
      </c>
      <c r="F4" s="120">
        <v>3</v>
      </c>
      <c r="G4" s="120">
        <v>4</v>
      </c>
      <c r="H4" s="120">
        <v>5</v>
      </c>
      <c r="I4" s="120">
        <v>6</v>
      </c>
      <c r="J4" s="120">
        <v>7</v>
      </c>
      <c r="K4" s="120">
        <v>8</v>
      </c>
      <c r="L4" s="120">
        <v>9</v>
      </c>
      <c r="M4" s="120">
        <v>10</v>
      </c>
      <c r="N4" s="120">
        <v>11</v>
      </c>
      <c r="O4" s="120">
        <v>12</v>
      </c>
      <c r="P4" s="120">
        <v>13</v>
      </c>
      <c r="Q4" s="120">
        <v>14</v>
      </c>
      <c r="R4" s="120">
        <v>15</v>
      </c>
      <c r="S4" s="120">
        <v>16</v>
      </c>
      <c r="T4" s="120">
        <v>17</v>
      </c>
      <c r="U4" s="120">
        <v>18</v>
      </c>
      <c r="V4" s="120">
        <v>19</v>
      </c>
      <c r="W4" s="120">
        <v>20</v>
      </c>
      <c r="X4" s="120">
        <v>21</v>
      </c>
      <c r="Y4" s="120">
        <v>22</v>
      </c>
      <c r="Z4" s="120">
        <v>23</v>
      </c>
      <c r="AA4" s="120">
        <v>24</v>
      </c>
      <c r="AB4" s="120">
        <v>25</v>
      </c>
      <c r="AC4" s="120">
        <v>26</v>
      </c>
      <c r="AD4" s="120">
        <v>27</v>
      </c>
      <c r="AE4" s="120">
        <v>28</v>
      </c>
      <c r="AF4" s="120">
        <v>29</v>
      </c>
      <c r="AG4" s="120">
        <v>30</v>
      </c>
      <c r="AH4" s="120">
        <v>31</v>
      </c>
      <c r="AI4" s="120">
        <v>32</v>
      </c>
      <c r="AJ4" s="120">
        <v>33</v>
      </c>
      <c r="AK4" s="120">
        <v>34</v>
      </c>
      <c r="AL4" s="120">
        <v>35</v>
      </c>
      <c r="AM4" s="120">
        <v>36</v>
      </c>
      <c r="AN4" s="120">
        <v>37</v>
      </c>
      <c r="AO4" s="120">
        <v>38</v>
      </c>
      <c r="AP4" s="120">
        <v>39</v>
      </c>
      <c r="AQ4" s="120">
        <v>40</v>
      </c>
      <c r="AR4" s="120">
        <v>41</v>
      </c>
      <c r="AS4" s="120">
        <v>42</v>
      </c>
      <c r="AT4" s="120">
        <v>43</v>
      </c>
      <c r="AU4" s="120">
        <v>44</v>
      </c>
      <c r="AV4" s="120">
        <v>45</v>
      </c>
      <c r="AW4" s="120">
        <v>46</v>
      </c>
      <c r="AX4" s="120">
        <v>47</v>
      </c>
      <c r="AY4" s="120">
        <v>48</v>
      </c>
      <c r="AZ4" s="120">
        <v>49</v>
      </c>
      <c r="BA4" s="120">
        <v>50</v>
      </c>
      <c r="BB4" s="120">
        <v>51</v>
      </c>
      <c r="BC4" s="120">
        <v>52</v>
      </c>
      <c r="BD4" s="120">
        <v>53</v>
      </c>
      <c r="BE4" s="120">
        <v>54</v>
      </c>
      <c r="BF4" s="120">
        <v>55</v>
      </c>
      <c r="BG4" s="120">
        <v>56</v>
      </c>
      <c r="BH4" s="120">
        <v>57</v>
      </c>
      <c r="BI4" s="120">
        <v>58</v>
      </c>
      <c r="BJ4" s="120">
        <v>59</v>
      </c>
      <c r="BK4" s="120">
        <v>60</v>
      </c>
      <c r="BL4" s="120">
        <v>61</v>
      </c>
      <c r="BM4" s="120">
        <v>62</v>
      </c>
      <c r="BN4" s="120">
        <v>63</v>
      </c>
      <c r="BO4" s="120">
        <v>64</v>
      </c>
      <c r="BP4" s="120">
        <v>65</v>
      </c>
      <c r="BQ4" s="120">
        <v>66</v>
      </c>
      <c r="BR4" s="120">
        <v>67</v>
      </c>
      <c r="BS4" s="120">
        <v>68</v>
      </c>
      <c r="BT4" s="120">
        <v>69</v>
      </c>
      <c r="BU4" s="120">
        <v>70</v>
      </c>
      <c r="BV4" s="120">
        <v>71</v>
      </c>
      <c r="BW4" s="120">
        <v>72</v>
      </c>
      <c r="BX4" s="120">
        <v>73</v>
      </c>
      <c r="BY4" s="120">
        <v>74</v>
      </c>
      <c r="BZ4" s="120">
        <v>75</v>
      </c>
      <c r="CA4" s="120">
        <v>76</v>
      </c>
      <c r="CB4" s="120">
        <v>77</v>
      </c>
      <c r="CC4" s="120">
        <v>78</v>
      </c>
      <c r="CD4" s="120">
        <v>79</v>
      </c>
      <c r="CE4" s="120">
        <v>80</v>
      </c>
      <c r="CF4" s="120">
        <v>81</v>
      </c>
      <c r="CG4" s="120">
        <v>82</v>
      </c>
      <c r="CH4" s="120">
        <v>83</v>
      </c>
      <c r="CI4" s="120">
        <v>84</v>
      </c>
      <c r="CJ4" s="120">
        <v>85</v>
      </c>
      <c r="CK4" s="120">
        <v>86</v>
      </c>
      <c r="CL4" s="120">
        <v>87</v>
      </c>
      <c r="CM4" s="120">
        <v>88</v>
      </c>
      <c r="CN4" s="120">
        <v>89</v>
      </c>
      <c r="CO4" s="120">
        <v>90</v>
      </c>
      <c r="CP4" s="120">
        <v>91</v>
      </c>
      <c r="CQ4" s="120">
        <v>92</v>
      </c>
      <c r="CR4" s="120">
        <v>93</v>
      </c>
      <c r="CS4" s="120">
        <v>94</v>
      </c>
      <c r="CT4" s="120">
        <v>95</v>
      </c>
      <c r="CU4" s="120">
        <v>96</v>
      </c>
      <c r="CV4" s="120">
        <v>97</v>
      </c>
      <c r="CW4" s="120">
        <v>98</v>
      </c>
      <c r="CX4" s="120">
        <v>99</v>
      </c>
      <c r="CY4" s="120">
        <v>100</v>
      </c>
      <c r="CZ4" s="120">
        <v>101</v>
      </c>
      <c r="DA4" s="120">
        <v>102</v>
      </c>
      <c r="DB4" s="120">
        <v>103</v>
      </c>
      <c r="DC4" s="120">
        <v>104</v>
      </c>
      <c r="DD4" s="120">
        <v>105</v>
      </c>
      <c r="DE4" s="120">
        <v>106</v>
      </c>
      <c r="DF4" s="120">
        <v>107</v>
      </c>
      <c r="DG4" s="120">
        <v>108</v>
      </c>
      <c r="DH4" s="120">
        <v>109</v>
      </c>
      <c r="DI4" s="120">
        <v>110</v>
      </c>
      <c r="DJ4" s="120">
        <v>111</v>
      </c>
      <c r="DK4" s="120">
        <v>112</v>
      </c>
      <c r="DL4" s="120">
        <v>113</v>
      </c>
      <c r="DM4" s="120">
        <v>114</v>
      </c>
      <c r="DN4" s="120">
        <v>115</v>
      </c>
      <c r="DO4" s="120">
        <v>116</v>
      </c>
      <c r="DP4" s="120">
        <v>117</v>
      </c>
      <c r="DQ4" s="120">
        <v>118</v>
      </c>
      <c r="DR4" s="120">
        <v>119</v>
      </c>
      <c r="DS4" s="120">
        <v>120</v>
      </c>
      <c r="DT4" s="120">
        <v>121</v>
      </c>
      <c r="DU4" s="120">
        <v>122</v>
      </c>
      <c r="DV4" s="120">
        <v>123</v>
      </c>
      <c r="DW4" s="120">
        <v>124</v>
      </c>
      <c r="DX4" s="120">
        <v>125</v>
      </c>
      <c r="DY4" s="120">
        <v>126</v>
      </c>
      <c r="DZ4" s="120">
        <v>127</v>
      </c>
      <c r="EA4" s="120">
        <v>128</v>
      </c>
      <c r="EB4" s="120">
        <v>129</v>
      </c>
      <c r="EC4" s="120">
        <v>130</v>
      </c>
      <c r="ED4" s="120">
        <v>131</v>
      </c>
      <c r="EE4" s="120">
        <v>132</v>
      </c>
      <c r="EF4" s="120">
        <v>133</v>
      </c>
      <c r="EG4" s="120">
        <v>134</v>
      </c>
      <c r="EH4" s="120">
        <v>135</v>
      </c>
      <c r="EI4" s="120">
        <v>136</v>
      </c>
      <c r="EJ4" s="120">
        <v>137</v>
      </c>
      <c r="EK4" s="120">
        <v>138</v>
      </c>
      <c r="EL4" s="120">
        <v>139</v>
      </c>
    </row>
    <row r="5" spans="1:142">
      <c r="B5" s="116" t="s">
        <v>149</v>
      </c>
      <c r="C5" s="116">
        <v>0</v>
      </c>
      <c r="D5" s="116">
        <v>157.13619894351649</v>
      </c>
      <c r="E5" s="116">
        <v>96.610157661386637</v>
      </c>
      <c r="F5" s="116">
        <v>65.549304041713938</v>
      </c>
      <c r="G5" s="116">
        <v>31.393519340798406</v>
      </c>
      <c r="H5" s="116">
        <v>0.58748696399777423</v>
      </c>
      <c r="I5" s="116">
        <v>0.3751708314249082</v>
      </c>
      <c r="J5" s="116">
        <v>0.227179292170752</v>
      </c>
      <c r="K5" s="116">
        <v>0.11492000369570493</v>
      </c>
      <c r="L5" s="116">
        <v>0.10600012602879924</v>
      </c>
      <c r="M5" s="116">
        <v>8.562683787312414E-2</v>
      </c>
      <c r="N5" s="116">
        <v>8.1849036225398783E-2</v>
      </c>
      <c r="O5" s="116">
        <v>7.8909285907571416E-2</v>
      </c>
      <c r="P5" s="116">
        <v>7.6450459523573336E-2</v>
      </c>
      <c r="Q5" s="116">
        <v>7.3371234446195824E-2</v>
      </c>
      <c r="R5" s="116">
        <v>6.8345446652336175E-2</v>
      </c>
      <c r="S5" s="116">
        <v>6.4937595294197334E-2</v>
      </c>
      <c r="T5" s="116">
        <v>6.1628362420525273E-2</v>
      </c>
      <c r="U5" s="116">
        <v>5.8605539393339741E-2</v>
      </c>
      <c r="V5" s="116">
        <v>5.4398747961962701E-2</v>
      </c>
      <c r="W5" s="116">
        <v>3.1573063557654345E-2</v>
      </c>
      <c r="X5" s="116">
        <v>2.5783409200050709E-2</v>
      </c>
      <c r="Y5" s="116">
        <v>2.1530561275580735E-2</v>
      </c>
      <c r="Z5" s="116">
        <v>1.9875679391094418E-2</v>
      </c>
      <c r="AA5" s="116">
        <v>1.8509246599899633E-2</v>
      </c>
      <c r="AB5" s="116">
        <v>4.8687533946509905E-4</v>
      </c>
      <c r="AC5" s="116">
        <v>0</v>
      </c>
      <c r="AD5" s="116">
        <v>0</v>
      </c>
      <c r="AE5" s="116">
        <v>0</v>
      </c>
      <c r="AF5" s="116">
        <v>0</v>
      </c>
      <c r="AG5" s="116">
        <v>0</v>
      </c>
      <c r="AH5" s="116">
        <v>0</v>
      </c>
      <c r="AI5" s="116">
        <v>0</v>
      </c>
      <c r="AJ5" s="116">
        <v>0</v>
      </c>
      <c r="AK5" s="116">
        <v>0</v>
      </c>
      <c r="AL5" s="116">
        <v>0</v>
      </c>
      <c r="AM5" s="116">
        <v>0</v>
      </c>
      <c r="AN5" s="116">
        <v>0</v>
      </c>
      <c r="AO5" s="116">
        <v>0</v>
      </c>
      <c r="AP5" s="116">
        <v>0</v>
      </c>
      <c r="AQ5" s="116">
        <v>0</v>
      </c>
      <c r="AR5" s="116">
        <v>0</v>
      </c>
      <c r="AS5" s="116">
        <v>0</v>
      </c>
      <c r="AT5" s="116">
        <v>0</v>
      </c>
      <c r="AU5" s="116">
        <v>0</v>
      </c>
      <c r="AV5" s="116">
        <v>0</v>
      </c>
      <c r="AW5" s="116">
        <v>0</v>
      </c>
      <c r="AX5" s="116">
        <v>0</v>
      </c>
      <c r="AY5" s="116">
        <v>0</v>
      </c>
      <c r="AZ5" s="116">
        <v>0</v>
      </c>
      <c r="BA5" s="116">
        <v>0</v>
      </c>
      <c r="BB5" s="116">
        <v>0</v>
      </c>
      <c r="BC5" s="116">
        <v>0</v>
      </c>
      <c r="BD5" s="116">
        <v>0</v>
      </c>
      <c r="BE5" s="116">
        <v>0</v>
      </c>
      <c r="BF5" s="116">
        <v>0</v>
      </c>
      <c r="BG5" s="116">
        <v>0</v>
      </c>
      <c r="BH5" s="116">
        <v>0</v>
      </c>
      <c r="BI5" s="116">
        <v>0</v>
      </c>
      <c r="BJ5" s="116">
        <v>0</v>
      </c>
      <c r="BK5" s="116">
        <v>0</v>
      </c>
      <c r="BL5" s="116">
        <v>0</v>
      </c>
      <c r="BM5" s="116">
        <v>0</v>
      </c>
      <c r="BN5" s="116">
        <v>0</v>
      </c>
      <c r="BO5" s="116">
        <v>0</v>
      </c>
      <c r="BP5" s="116">
        <v>0</v>
      </c>
      <c r="BQ5" s="116">
        <v>0</v>
      </c>
      <c r="BR5" s="116">
        <v>0</v>
      </c>
      <c r="BS5" s="116">
        <v>0</v>
      </c>
      <c r="BT5" s="116">
        <v>0</v>
      </c>
      <c r="BU5" s="116">
        <v>0</v>
      </c>
      <c r="BV5" s="116">
        <v>0</v>
      </c>
      <c r="BW5" s="116">
        <v>0</v>
      </c>
      <c r="BX5" s="116">
        <v>0</v>
      </c>
      <c r="BY5" s="116">
        <v>0</v>
      </c>
      <c r="BZ5" s="116">
        <v>0</v>
      </c>
      <c r="CA5" s="116">
        <v>0</v>
      </c>
      <c r="CB5" s="116">
        <v>0</v>
      </c>
      <c r="CC5" s="116">
        <v>0</v>
      </c>
      <c r="CD5" s="116">
        <v>0</v>
      </c>
      <c r="CE5" s="116">
        <v>0</v>
      </c>
      <c r="CF5" s="116">
        <v>0</v>
      </c>
      <c r="CG5" s="116">
        <v>0</v>
      </c>
      <c r="CH5" s="116">
        <v>0</v>
      </c>
      <c r="CI5" s="116">
        <v>0</v>
      </c>
      <c r="CJ5" s="116">
        <v>0</v>
      </c>
      <c r="CK5" s="116">
        <v>0</v>
      </c>
      <c r="CL5" s="116">
        <v>0</v>
      </c>
      <c r="CM5" s="116">
        <v>0</v>
      </c>
      <c r="CN5" s="116">
        <v>0</v>
      </c>
      <c r="CO5" s="116">
        <v>0</v>
      </c>
      <c r="CP5" s="116">
        <v>0</v>
      </c>
      <c r="CQ5" s="116">
        <v>0</v>
      </c>
      <c r="CR5" s="116">
        <v>0</v>
      </c>
      <c r="CS5" s="116">
        <v>0</v>
      </c>
      <c r="CT5" s="116">
        <v>0</v>
      </c>
      <c r="CU5" s="116">
        <v>0</v>
      </c>
      <c r="CV5" s="116">
        <v>0</v>
      </c>
      <c r="CW5" s="116">
        <v>0</v>
      </c>
      <c r="CX5" s="116">
        <v>0</v>
      </c>
      <c r="CY5" s="116">
        <v>0</v>
      </c>
      <c r="CZ5" s="116">
        <v>0</v>
      </c>
      <c r="DA5" s="116">
        <v>0</v>
      </c>
      <c r="DB5" s="116">
        <v>0</v>
      </c>
      <c r="DC5" s="116">
        <v>0</v>
      </c>
      <c r="DD5" s="116">
        <v>0</v>
      </c>
      <c r="DE5" s="116">
        <v>0</v>
      </c>
      <c r="DF5" s="116">
        <v>0</v>
      </c>
      <c r="DG5" s="116">
        <v>0</v>
      </c>
      <c r="DH5" s="116">
        <v>0</v>
      </c>
      <c r="DI5" s="116">
        <v>0</v>
      </c>
      <c r="DJ5" s="116">
        <v>0</v>
      </c>
      <c r="DK5" s="116">
        <v>0</v>
      </c>
      <c r="DL5" s="116">
        <v>0</v>
      </c>
      <c r="DM5" s="116">
        <v>0</v>
      </c>
      <c r="DN5" s="116">
        <v>0</v>
      </c>
      <c r="DO5" s="116">
        <v>0</v>
      </c>
      <c r="DP5" s="116">
        <v>0</v>
      </c>
      <c r="DQ5" s="116">
        <v>0</v>
      </c>
      <c r="DR5" s="116">
        <v>0</v>
      </c>
      <c r="DS5" s="116">
        <v>0</v>
      </c>
      <c r="DT5" s="116">
        <v>0</v>
      </c>
      <c r="DU5" s="116">
        <v>0</v>
      </c>
      <c r="DV5" s="116">
        <v>0</v>
      </c>
      <c r="DW5" s="116">
        <v>0</v>
      </c>
      <c r="DX5" s="116">
        <v>0</v>
      </c>
      <c r="DY5" s="116">
        <v>0</v>
      </c>
      <c r="DZ5" s="116">
        <v>0</v>
      </c>
      <c r="EA5" s="116">
        <v>0</v>
      </c>
      <c r="EB5" s="116">
        <v>0</v>
      </c>
      <c r="EC5" s="116">
        <v>0</v>
      </c>
      <c r="ED5" s="116">
        <v>0</v>
      </c>
      <c r="EE5" s="116">
        <v>0</v>
      </c>
      <c r="EF5" s="116">
        <v>0</v>
      </c>
      <c r="EG5" s="116">
        <v>0</v>
      </c>
      <c r="EH5" s="116">
        <v>0</v>
      </c>
      <c r="EI5" s="116">
        <v>0</v>
      </c>
      <c r="EJ5" s="116">
        <v>0</v>
      </c>
      <c r="EK5" s="116">
        <v>0</v>
      </c>
      <c r="EL5" s="116">
        <v>0</v>
      </c>
    </row>
    <row r="6" spans="1:142">
      <c r="B6" s="116" t="s">
        <v>148</v>
      </c>
      <c r="C6" s="116">
        <v>0</v>
      </c>
      <c r="D6" s="116">
        <v>-8.7361244668509244</v>
      </c>
      <c r="E6" s="116">
        <v>-11.565251831794697</v>
      </c>
      <c r="F6" s="116">
        <v>-14.914699303563587</v>
      </c>
      <c r="G6" s="116">
        <v>-20.311022196667594</v>
      </c>
      <c r="H6" s="116">
        <v>-30.725001546022014</v>
      </c>
      <c r="I6" s="116">
        <v>-42.21623669967223</v>
      </c>
      <c r="J6" s="116">
        <v>-47.010825414923836</v>
      </c>
      <c r="K6" s="116">
        <v>-40.931809603175239</v>
      </c>
      <c r="L6" s="116">
        <v>-32.763174674427589</v>
      </c>
      <c r="M6" s="116">
        <v>-23.23643946026154</v>
      </c>
      <c r="N6" s="116">
        <v>-17.253504220228091</v>
      </c>
      <c r="O6" s="116">
        <v>-15.293212331873869</v>
      </c>
      <c r="P6" s="116">
        <v>-15.236044187134871</v>
      </c>
      <c r="Q6" s="116">
        <v>-15.466339187517864</v>
      </c>
      <c r="R6" s="116">
        <v>-15.706514580979446</v>
      </c>
      <c r="S6" s="116">
        <v>-15.966227645378961</v>
      </c>
      <c r="T6" s="116">
        <v>-16.22662815543783</v>
      </c>
      <c r="U6" s="116">
        <v>-16.456645316463145</v>
      </c>
      <c r="V6" s="116">
        <v>-16.67837695679513</v>
      </c>
      <c r="W6" s="116">
        <v>-16.897626017791495</v>
      </c>
      <c r="X6" s="116">
        <v>-17.111306932635209</v>
      </c>
      <c r="Y6" s="116">
        <v>-17.313279665272088</v>
      </c>
      <c r="Z6" s="116">
        <v>-17.495871214426575</v>
      </c>
      <c r="AA6" s="116">
        <v>-17.654259987830724</v>
      </c>
      <c r="AB6" s="116">
        <v>-17.78109417447283</v>
      </c>
      <c r="AC6" s="116">
        <v>-17.86895097200879</v>
      </c>
      <c r="AD6" s="116">
        <v>-17.911776864664674</v>
      </c>
      <c r="AE6" s="116">
        <v>-17.907719004699093</v>
      </c>
      <c r="AF6" s="116">
        <v>-17.860179186599868</v>
      </c>
      <c r="AG6" s="116">
        <v>-17.758524075332243</v>
      </c>
      <c r="AH6" s="116">
        <v>-17.604740891344225</v>
      </c>
      <c r="AI6" s="116">
        <v>-17.386981944022242</v>
      </c>
      <c r="AJ6" s="116">
        <v>-17.109300362084134</v>
      </c>
      <c r="AK6" s="116">
        <v>-16.772505477562476</v>
      </c>
      <c r="AL6" s="116">
        <v>-16.376149951099826</v>
      </c>
      <c r="AM6" s="116">
        <v>-15.923005942185538</v>
      </c>
      <c r="AN6" s="116">
        <v>-15.416090966850247</v>
      </c>
      <c r="AO6" s="116">
        <v>-14.858016393215644</v>
      </c>
      <c r="AP6" s="116">
        <v>-14.255965625863169</v>
      </c>
      <c r="AQ6" s="116">
        <v>-13.616921602381369</v>
      </c>
      <c r="AR6" s="116">
        <v>-12.953578311404767</v>
      </c>
      <c r="AS6" s="116">
        <v>-12.278644609753732</v>
      </c>
      <c r="AT6" s="116">
        <v>-11.600837530322226</v>
      </c>
      <c r="AU6" s="116">
        <v>-10.926004610168066</v>
      </c>
      <c r="AV6" s="116">
        <v>-10.259549938178543</v>
      </c>
      <c r="AW6" s="116">
        <v>-9.6088797955908731</v>
      </c>
      <c r="AX6" s="116">
        <v>-8.9776761917789472</v>
      </c>
      <c r="AY6" s="116">
        <v>-8.3639122948036473</v>
      </c>
      <c r="AZ6" s="116">
        <v>-7.7714803144945206</v>
      </c>
      <c r="BA6" s="116">
        <v>-7.2002819272481657</v>
      </c>
      <c r="BB6" s="116">
        <v>-6.6496922663519289</v>
      </c>
      <c r="BC6" s="116">
        <v>-6.1207492410584559</v>
      </c>
      <c r="BD6" s="116">
        <v>-5.6168874815671694</v>
      </c>
      <c r="BE6" s="116">
        <v>-5.1358093124344464</v>
      </c>
      <c r="BF6" s="116">
        <v>-4.6786000184844836</v>
      </c>
      <c r="BG6" s="116">
        <v>-4.2479833895771453</v>
      </c>
      <c r="BH6" s="116">
        <v>-3.8417461601078444</v>
      </c>
      <c r="BI6" s="116">
        <v>-3.4590192893860783</v>
      </c>
      <c r="BJ6" s="116">
        <v>-3.1015775133495973</v>
      </c>
      <c r="BK6" s="116">
        <v>-2.7696299573211105</v>
      </c>
      <c r="BL6" s="116">
        <v>-2.4616253988218006</v>
      </c>
      <c r="BM6" s="116">
        <v>-2.179666969826707</v>
      </c>
      <c r="BN6" s="116">
        <v>-1.9231132096197752</v>
      </c>
      <c r="BO6" s="116">
        <v>-1.6925145896032543</v>
      </c>
      <c r="BP6" s="116">
        <v>-1.485140988855185</v>
      </c>
      <c r="BQ6" s="116">
        <v>-1.3007375980631872</v>
      </c>
      <c r="BR6" s="116">
        <v>-1.136374856731253</v>
      </c>
      <c r="BS6" s="116">
        <v>-0.99558484011493686</v>
      </c>
      <c r="BT6" s="116">
        <v>-0.87271562407406356</v>
      </c>
      <c r="BU6" s="116">
        <v>-0.7676529322015273</v>
      </c>
      <c r="BV6" s="116">
        <v>-0.67635744169853529</v>
      </c>
      <c r="BW6" s="116">
        <v>-0.59711858952126229</v>
      </c>
      <c r="BX6" s="116">
        <v>-0.52891987568412246</v>
      </c>
      <c r="BY6" s="116">
        <v>-0.46885800661035643</v>
      </c>
      <c r="BZ6" s="116">
        <v>-0.41696724363086068</v>
      </c>
      <c r="CA6" s="116">
        <v>-0.37091256685458124</v>
      </c>
      <c r="CB6" s="116">
        <v>-0.33185497690924876</v>
      </c>
      <c r="CC6" s="116">
        <v>-0.2983363218605804</v>
      </c>
      <c r="CD6" s="116">
        <v>-0.27008303764338215</v>
      </c>
      <c r="CE6" s="116">
        <v>-0.24666932021105945</v>
      </c>
      <c r="CF6" s="116">
        <v>-0.22649569124005553</v>
      </c>
      <c r="CG6" s="116">
        <v>-0.21023690896563735</v>
      </c>
      <c r="CH6" s="116">
        <v>-0.19704696452105042</v>
      </c>
      <c r="CI6" s="116">
        <v>-0.1853392726926216</v>
      </c>
      <c r="CJ6" s="116">
        <v>-0.17479598958916545</v>
      </c>
      <c r="CK6" s="116">
        <v>-0.16408723748547152</v>
      </c>
      <c r="CL6" s="116">
        <v>-0.15444349544546665</v>
      </c>
      <c r="CM6" s="116">
        <v>-0.14374299214219083</v>
      </c>
      <c r="CN6" s="116">
        <v>-0.13350061364561266</v>
      </c>
      <c r="CO6" s="116">
        <v>-0.12327604861695879</v>
      </c>
      <c r="CP6" s="116">
        <v>-0.11349213985179499</v>
      </c>
      <c r="CQ6" s="116">
        <v>-0.10253105290365891</v>
      </c>
      <c r="CR6" s="116">
        <v>-9.2709296893591087E-2</v>
      </c>
      <c r="CS6" s="116">
        <v>-8.1800176046886719E-2</v>
      </c>
      <c r="CT6" s="116">
        <v>-7.1489285120966972E-2</v>
      </c>
      <c r="CU6" s="116">
        <v>-6.196729308738267E-2</v>
      </c>
      <c r="CV6" s="116">
        <v>-5.1374643088776172E-2</v>
      </c>
      <c r="CW6" s="116">
        <v>-4.0918236838952002E-2</v>
      </c>
      <c r="CX6" s="116">
        <v>-3.1996760269696022E-2</v>
      </c>
      <c r="CY6" s="116">
        <v>-2.4998589124246007E-2</v>
      </c>
      <c r="CZ6" s="116">
        <v>-1.6862127193752487E-2</v>
      </c>
      <c r="DA6" s="116">
        <v>-1.2257789482070236E-2</v>
      </c>
      <c r="DB6" s="116">
        <v>-8.5171985205403419E-3</v>
      </c>
      <c r="DC6" s="116">
        <v>-5.6031099939229095E-3</v>
      </c>
      <c r="DD6" s="116">
        <v>-3.4482634847352992E-3</v>
      </c>
      <c r="DE6" s="116">
        <v>-1.9535368240937833E-3</v>
      </c>
      <c r="DF6" s="116">
        <v>-9.9777377031064489E-4</v>
      </c>
      <c r="DG6" s="116">
        <v>-4.4570817877404928E-4</v>
      </c>
      <c r="DH6" s="116">
        <v>-1.6718372318197581E-4</v>
      </c>
      <c r="DI6" s="116">
        <v>-4.8880313881503213E-5</v>
      </c>
      <c r="DJ6" s="116">
        <v>-1.1231361529508233E-5</v>
      </c>
      <c r="DK6" s="116">
        <v>-2.2120722401072802E-6</v>
      </c>
      <c r="DL6" s="116">
        <v>-4.356586762527039E-7</v>
      </c>
      <c r="DM6" s="116">
        <v>-8.5806207752732442E-8</v>
      </c>
      <c r="DN6" s="116">
        <v>-1.6900186830666582E-8</v>
      </c>
      <c r="DO6" s="116">
        <v>-3.3285933327035109E-9</v>
      </c>
      <c r="DP6" s="116">
        <v>-6.5555111496315001E-10</v>
      </c>
      <c r="DQ6" s="116">
        <v>-1.2911107524270887E-10</v>
      </c>
      <c r="DR6" s="116">
        <v>-2.5427533638454975E-11</v>
      </c>
      <c r="DS6" s="116">
        <v>-5.0082693883439606E-12</v>
      </c>
      <c r="DT6" s="116">
        <v>-9.8633612509295281E-13</v>
      </c>
      <c r="DU6" s="116">
        <v>-1.9425226570675414E-13</v>
      </c>
      <c r="DV6" s="116">
        <v>-3.8256779494556224E-14</v>
      </c>
      <c r="DW6" s="116">
        <v>-7.5343940865882774E-15</v>
      </c>
      <c r="DX6" s="116">
        <v>-1.4838569714207152E-15</v>
      </c>
      <c r="DY6" s="116">
        <v>-2.9223884203073633E-16</v>
      </c>
      <c r="DZ6" s="116">
        <v>-5.7558781790356854E-17</v>
      </c>
      <c r="EA6" s="116">
        <v>-1.1336592288377947E-17</v>
      </c>
      <c r="EB6" s="116">
        <v>-2.2328784120546624E-18</v>
      </c>
      <c r="EC6" s="116">
        <v>-4.3978940326408413E-19</v>
      </c>
      <c r="ED6" s="116">
        <v>-8.6621450431047252E-20</v>
      </c>
      <c r="EE6" s="116">
        <v>-1.7060663847796698E-20</v>
      </c>
      <c r="EF6" s="116">
        <v>-3.3600221210027203E-21</v>
      </c>
      <c r="EG6" s="116">
        <v>-6.6153183671723227E-22</v>
      </c>
      <c r="EH6" s="116">
        <v>-1.3035432589940609E-22</v>
      </c>
      <c r="EI6" s="116">
        <v>-2.5596823562925211E-23</v>
      </c>
      <c r="EJ6" s="116">
        <v>-4.8475206459240626E-24</v>
      </c>
      <c r="EK6" s="116">
        <v>-5.4131070924097036E-25</v>
      </c>
      <c r="EL6" s="116">
        <v>0</v>
      </c>
    </row>
    <row r="7" spans="1:142">
      <c r="B7" s="116" t="s">
        <v>147</v>
      </c>
      <c r="C7" s="116">
        <v>0</v>
      </c>
      <c r="D7" s="116">
        <v>-0.24255396734405441</v>
      </c>
      <c r="E7" s="116">
        <v>-0.45382534791816292</v>
      </c>
      <c r="F7" s="116">
        <v>-0.43965134413191786</v>
      </c>
      <c r="G7" s="116">
        <v>-0.42016880116801331</v>
      </c>
      <c r="H7" s="116">
        <v>-1.4083587500990746</v>
      </c>
      <c r="I7" s="116">
        <v>-1.3674452333083278</v>
      </c>
      <c r="J7" s="116">
        <v>-1.3307479871042605</v>
      </c>
      <c r="K7" s="116">
        <v>-1.2970830138489058</v>
      </c>
      <c r="L7" s="116">
        <v>-1.263506582637711</v>
      </c>
      <c r="M7" s="116">
        <v>-1.2299969513700235</v>
      </c>
      <c r="N7" s="116">
        <v>-1.1965013692529136</v>
      </c>
      <c r="O7" s="116">
        <v>-1.1629886649143468</v>
      </c>
      <c r="P7" s="116">
        <v>-1.1294299860140493</v>
      </c>
      <c r="Q7" s="116">
        <v>-1.0958020342041668</v>
      </c>
      <c r="R7" s="116">
        <v>-1.0620871329055568</v>
      </c>
      <c r="S7" s="116">
        <v>-1.0282743250701114</v>
      </c>
      <c r="T7" s="116">
        <v>-0.99436183529476629</v>
      </c>
      <c r="U7" s="116">
        <v>-0.96035568309240837</v>
      </c>
      <c r="V7" s="116">
        <v>-0.92627345275237394</v>
      </c>
      <c r="W7" s="116">
        <v>-0.89214192273578008</v>
      </c>
      <c r="X7" s="116">
        <v>-0.85799852628823203</v>
      </c>
      <c r="Y7" s="116">
        <v>-0.82389070645403062</v>
      </c>
      <c r="Z7" s="116">
        <v>-0.78987502300699008</v>
      </c>
      <c r="AA7" s="116">
        <v>-0.75601539401500184</v>
      </c>
      <c r="AB7" s="116">
        <v>-0.722380771602394</v>
      </c>
      <c r="AC7" s="116">
        <v>-0.68904354157703562</v>
      </c>
      <c r="AD7" s="116">
        <v>-0.65607728369565721</v>
      </c>
      <c r="AE7" s="116">
        <v>-0.62355589649377929</v>
      </c>
      <c r="AF7" s="116">
        <v>-0.59155209903705486</v>
      </c>
      <c r="AG7" s="116">
        <v>-0.56558366167547414</v>
      </c>
      <c r="AH7" s="116">
        <v>-0.53666971638385352</v>
      </c>
      <c r="AI7" s="116">
        <v>-0.50568075988015748</v>
      </c>
      <c r="AJ7" s="116">
        <v>-0.47545269879300994</v>
      </c>
      <c r="AK7" s="116">
        <v>-0.44677958129205436</v>
      </c>
      <c r="AL7" s="116">
        <v>-0.41880335749987252</v>
      </c>
      <c r="AM7" s="116">
        <v>-0.39204830930826029</v>
      </c>
      <c r="AN7" s="116">
        <v>-0.36635832721823358</v>
      </c>
      <c r="AO7" s="116">
        <v>-0.34128829117533444</v>
      </c>
      <c r="AP7" s="116">
        <v>-0.31755850490652482</v>
      </c>
      <c r="AQ7" s="116">
        <v>-0.29530670498752781</v>
      </c>
      <c r="AR7" s="116">
        <v>-0.27416983839957471</v>
      </c>
      <c r="AS7" s="116">
        <v>-0.25439735102692157</v>
      </c>
      <c r="AT7" s="116">
        <v>-0.23577089663096207</v>
      </c>
      <c r="AU7" s="116">
        <v>-0.21822353381459358</v>
      </c>
      <c r="AV7" s="116">
        <v>-0.20154914734945439</v>
      </c>
      <c r="AW7" s="116">
        <v>-0.18603847030638762</v>
      </c>
      <c r="AX7" s="116">
        <v>-0.17158216866887521</v>
      </c>
      <c r="AY7" s="116">
        <v>-0.15792585859409264</v>
      </c>
      <c r="AZ7" s="116">
        <v>-0.145344393156288</v>
      </c>
      <c r="BA7" s="116">
        <v>-0.1336493836524088</v>
      </c>
      <c r="BB7" s="116">
        <v>-0.12280714566522649</v>
      </c>
      <c r="BC7" s="116">
        <v>-0.11287727502510018</v>
      </c>
      <c r="BD7" s="116">
        <v>-0.10369433464251344</v>
      </c>
      <c r="BE7" s="116">
        <v>-9.529306553784489E-2</v>
      </c>
      <c r="BF7" s="116">
        <v>-8.7479426395877899E-2</v>
      </c>
      <c r="BG7" s="116">
        <v>-8.0442267878923349E-2</v>
      </c>
      <c r="BH7" s="116">
        <v>-7.3951601202267431E-2</v>
      </c>
      <c r="BI7" s="116">
        <v>-6.8114337698798544E-2</v>
      </c>
      <c r="BJ7" s="116">
        <v>-6.2756782611436496E-2</v>
      </c>
      <c r="BK7" s="116">
        <v>-5.7821597708212769E-2</v>
      </c>
      <c r="BL7" s="116">
        <v>-5.3421692075723642E-2</v>
      </c>
      <c r="BM7" s="116">
        <v>-4.9381047563502124E-2</v>
      </c>
      <c r="BN7" s="116">
        <v>-4.5783582981446982E-2</v>
      </c>
      <c r="BO7" s="116">
        <v>-4.2530726503595684E-2</v>
      </c>
      <c r="BP7" s="116">
        <v>-3.958682169820997E-2</v>
      </c>
      <c r="BQ7" s="116">
        <v>-3.6913160861461541E-2</v>
      </c>
      <c r="BR7" s="116">
        <v>-3.4495779218781775E-2</v>
      </c>
      <c r="BS7" s="116">
        <v>-3.2276403223149841E-2</v>
      </c>
      <c r="BT7" s="116">
        <v>-3.0210017919350726E-2</v>
      </c>
      <c r="BU7" s="116">
        <v>-2.830649849092123E-2</v>
      </c>
      <c r="BV7" s="116">
        <v>-2.6542696559337477E-2</v>
      </c>
      <c r="BW7" s="116">
        <v>-2.4887429788649246E-2</v>
      </c>
      <c r="BX7" s="116">
        <v>-2.3326399065214394E-2</v>
      </c>
      <c r="BY7" s="116">
        <v>-2.1840254578345982E-2</v>
      </c>
      <c r="BZ7" s="116">
        <v>-2.0430393248054093E-2</v>
      </c>
      <c r="CA7" s="116">
        <v>-1.9085318708875924E-2</v>
      </c>
      <c r="CB7" s="116">
        <v>-1.7791470599374165E-2</v>
      </c>
      <c r="CC7" s="116">
        <v>-1.6541253895128099E-2</v>
      </c>
      <c r="CD7" s="116">
        <v>-1.5328504660680921E-2</v>
      </c>
      <c r="CE7" s="116">
        <v>-1.4148782301340573E-2</v>
      </c>
      <c r="CF7" s="116">
        <v>-1.2999398960167425E-2</v>
      </c>
      <c r="CG7" s="116">
        <v>-1.1879826523007691E-2</v>
      </c>
      <c r="CH7" s="116">
        <v>-1.0791439636539505E-2</v>
      </c>
      <c r="CI7" s="116">
        <v>-9.7371232463484524E-3</v>
      </c>
      <c r="CJ7" s="116">
        <v>-8.7208731577140819E-3</v>
      </c>
      <c r="CK7" s="116">
        <v>-7.7473213120025581E-3</v>
      </c>
      <c r="CL7" s="116">
        <v>-6.821305202786055E-3</v>
      </c>
      <c r="CM7" s="116">
        <v>-5.9476410030651289E-3</v>
      </c>
      <c r="CN7" s="116">
        <v>-5.1309101989957572E-3</v>
      </c>
      <c r="CO7" s="116">
        <v>-4.3752569282295367E-3</v>
      </c>
      <c r="CP7" s="116">
        <v>-3.6841630575698107E-3</v>
      </c>
      <c r="CQ7" s="116">
        <v>-3.0602304708610456E-3</v>
      </c>
      <c r="CR7" s="116">
        <v>-2.5049634346598765E-3</v>
      </c>
      <c r="CS7" s="116">
        <v>-2.0185276842968839E-3</v>
      </c>
      <c r="CT7" s="116">
        <v>-1.5996046515614837E-3</v>
      </c>
      <c r="CU7" s="116">
        <v>-1.2452823618082031E-3</v>
      </c>
      <c r="CV7" s="116">
        <v>-9.5116584453437767E-4</v>
      </c>
      <c r="CW7" s="116">
        <v>-7.1161987184661598E-4</v>
      </c>
      <c r="CX7" s="116">
        <v>-5.2021347978850087E-4</v>
      </c>
      <c r="CY7" s="116">
        <v>-3.7024087888186012E-4</v>
      </c>
      <c r="CZ7" s="116">
        <v>-2.5520467258085188E-4</v>
      </c>
      <c r="DA7" s="116">
        <v>-1.6917233361199134E-4</v>
      </c>
      <c r="DB7" s="116">
        <v>-1.0685576471893259E-4</v>
      </c>
      <c r="DC7" s="116">
        <v>-6.356106824012496E-5</v>
      </c>
      <c r="DD7" s="116">
        <v>-3.509608936101846E-5</v>
      </c>
      <c r="DE7" s="116">
        <v>-1.7658521938663689E-5</v>
      </c>
      <c r="DF7" s="116">
        <v>-7.8969133386390097E-6</v>
      </c>
      <c r="DG7" s="116">
        <v>-3.0288392009429616E-6</v>
      </c>
      <c r="DH7" s="116">
        <v>-9.4573512552045785E-7</v>
      </c>
      <c r="DI7" s="116">
        <v>-2.1929322164456649E-7</v>
      </c>
      <c r="DJ7" s="116">
        <v>-4.2983157626859738E-8</v>
      </c>
      <c r="DK7" s="116">
        <v>-8.4250173647739097E-9</v>
      </c>
      <c r="DL7" s="116">
        <v>-1.6513634669638407E-9</v>
      </c>
      <c r="DM7" s="116">
        <v>-3.2367855001312923E-10</v>
      </c>
      <c r="DN7" s="116">
        <v>-6.3443122106102013E-11</v>
      </c>
      <c r="DO7" s="116">
        <v>-1.2435250938246613E-11</v>
      </c>
      <c r="DP7" s="116">
        <v>-2.4373839096153374E-12</v>
      </c>
      <c r="DQ7" s="116">
        <v>-4.777412105090906E-13</v>
      </c>
      <c r="DR7" s="116">
        <v>-9.3639880560592468E-14</v>
      </c>
      <c r="DS7" s="116">
        <v>-1.8353900631912519E-14</v>
      </c>
      <c r="DT7" s="116">
        <v>-3.5974542595134205E-15</v>
      </c>
      <c r="DU7" s="116">
        <v>-7.0511761620596139E-16</v>
      </c>
      <c r="DV7" s="116">
        <v>-1.3820610536269472E-16</v>
      </c>
      <c r="DW7" s="116">
        <v>-2.7088956273014798E-17</v>
      </c>
      <c r="DX7" s="116">
        <v>-5.3095375324741467E-18</v>
      </c>
      <c r="DY7" s="116">
        <v>-1.0406878820115312E-18</v>
      </c>
      <c r="DZ7" s="116">
        <v>-2.0397816407101354E-19</v>
      </c>
      <c r="EA7" s="116">
        <v>-3.9980317229511085E-20</v>
      </c>
      <c r="EB7" s="116">
        <v>-7.8362462853228606E-21</v>
      </c>
      <c r="EC7" s="116">
        <v>-1.5359203047518684E-21</v>
      </c>
      <c r="ED7" s="116">
        <v>-3.0104251594236262E-22</v>
      </c>
      <c r="EE7" s="116">
        <v>-5.9004300004796295E-23</v>
      </c>
      <c r="EF7" s="116">
        <v>-1.156451511142706E-23</v>
      </c>
      <c r="EG7" s="116">
        <v>-2.2660945032794196E-24</v>
      </c>
      <c r="EH7" s="116">
        <v>-4.4370492394516606E-25</v>
      </c>
      <c r="EI7" s="116">
        <v>-8.6387323599283466E-26</v>
      </c>
      <c r="EJ7" s="116">
        <v>-1.6772434539405648E-26</v>
      </c>
      <c r="EK7" s="116">
        <v>-1.6336317672791905E-27</v>
      </c>
      <c r="EL7" s="116">
        <v>0</v>
      </c>
    </row>
    <row r="8" spans="1:142">
      <c r="B8" s="116" t="s">
        <v>146</v>
      </c>
      <c r="C8" s="116">
        <v>0</v>
      </c>
      <c r="D8" s="116">
        <v>-8.0589247991393678E-2</v>
      </c>
      <c r="E8" s="116">
        <v>-0.26147820484309392</v>
      </c>
      <c r="F8" s="116">
        <v>-0.62631890989850658</v>
      </c>
      <c r="G8" s="116">
        <v>-1.8656561567785397</v>
      </c>
      <c r="H8" s="116">
        <v>-5.5287107601646781</v>
      </c>
      <c r="I8" s="116">
        <v>-10.494270814321021</v>
      </c>
      <c r="J8" s="116">
        <v>-13.551516587683105</v>
      </c>
      <c r="K8" s="116">
        <v>-13.726686281876395</v>
      </c>
      <c r="L8" s="116">
        <v>-12.661872088458104</v>
      </c>
      <c r="M8" s="116">
        <v>-10.249601184608043</v>
      </c>
      <c r="N8" s="116">
        <v>-8.6241743889238389</v>
      </c>
      <c r="O8" s="116">
        <v>-8.4360078399550851</v>
      </c>
      <c r="P8" s="116">
        <v>-9.1621715797281702</v>
      </c>
      <c r="Q8" s="116">
        <v>-10.229492065950856</v>
      </c>
      <c r="R8" s="116">
        <v>-11.42992690828072</v>
      </c>
      <c r="S8" s="116">
        <v>-12.775823068942037</v>
      </c>
      <c r="T8" s="116">
        <v>-14.262620623910212</v>
      </c>
      <c r="U8" s="116">
        <v>-15.8494131263248</v>
      </c>
      <c r="V8" s="116">
        <v>-17.541348451820436</v>
      </c>
      <c r="W8" s="116">
        <v>-19.37448053808459</v>
      </c>
      <c r="X8" s="116">
        <v>-21.339712329455661</v>
      </c>
      <c r="Y8" s="116">
        <v>-23.465403913035971</v>
      </c>
      <c r="Z8" s="116">
        <v>-25.652295901519437</v>
      </c>
      <c r="AA8" s="116">
        <v>-27.867807082657848</v>
      </c>
      <c r="AB8" s="116">
        <v>-30.144116897180677</v>
      </c>
      <c r="AC8" s="116">
        <v>-32.482515465627465</v>
      </c>
      <c r="AD8" s="116">
        <v>-34.88651925655995</v>
      </c>
      <c r="AE8" s="116">
        <v>-37.166725714385379</v>
      </c>
      <c r="AF8" s="116">
        <v>-39.328915857748768</v>
      </c>
      <c r="AG8" s="116">
        <v>-41.462092524761317</v>
      </c>
      <c r="AH8" s="116">
        <v>-43.565954950042133</v>
      </c>
      <c r="AI8" s="116">
        <v>-45.770807658930828</v>
      </c>
      <c r="AJ8" s="116">
        <v>-47.833128671713943</v>
      </c>
      <c r="AK8" s="116">
        <v>-49.70852537092906</v>
      </c>
      <c r="AL8" s="116">
        <v>-51.461467477656747</v>
      </c>
      <c r="AM8" s="116">
        <v>-53.07158316833479</v>
      </c>
      <c r="AN8" s="116">
        <v>-54.503796348276225</v>
      </c>
      <c r="AO8" s="116">
        <v>-55.815462189477223</v>
      </c>
      <c r="AP8" s="116">
        <v>-56.987506358197038</v>
      </c>
      <c r="AQ8" s="116">
        <v>-57.909608129878528</v>
      </c>
      <c r="AR8" s="116">
        <v>-58.557091652735707</v>
      </c>
      <c r="AS8" s="116">
        <v>-58.886316817782586</v>
      </c>
      <c r="AT8" s="116">
        <v>-58.993713462429724</v>
      </c>
      <c r="AU8" s="116">
        <v>-58.863347404814377</v>
      </c>
      <c r="AV8" s="116">
        <v>-58.502418766617403</v>
      </c>
      <c r="AW8" s="116">
        <v>-57.961854831129379</v>
      </c>
      <c r="AX8" s="116">
        <v>-57.214689915709982</v>
      </c>
      <c r="AY8" s="116">
        <v>-56.338596615197687</v>
      </c>
      <c r="AZ8" s="116">
        <v>-55.387686061880274</v>
      </c>
      <c r="BA8" s="116">
        <v>-54.323103082870347</v>
      </c>
      <c r="BB8" s="116">
        <v>-53.164964198555715</v>
      </c>
      <c r="BC8" s="116">
        <v>-51.809284145928991</v>
      </c>
      <c r="BD8" s="116">
        <v>-50.336890538092518</v>
      </c>
      <c r="BE8" s="116">
        <v>-48.752098517555787</v>
      </c>
      <c r="BF8" s="116">
        <v>-47.016295107831468</v>
      </c>
      <c r="BG8" s="116">
        <v>-45.212832697391761</v>
      </c>
      <c r="BH8" s="116">
        <v>-43.315102551025284</v>
      </c>
      <c r="BI8" s="116">
        <v>-41.366758435341261</v>
      </c>
      <c r="BJ8" s="116">
        <v>-39.420482901316106</v>
      </c>
      <c r="BK8" s="116">
        <v>-37.46978965842294</v>
      </c>
      <c r="BL8" s="116">
        <v>-35.487002888677424</v>
      </c>
      <c r="BM8" s="116">
        <v>-33.468302579575706</v>
      </c>
      <c r="BN8" s="116">
        <v>-31.471810341363906</v>
      </c>
      <c r="BO8" s="116">
        <v>-29.545367792274995</v>
      </c>
      <c r="BP8" s="116">
        <v>-27.668464724397275</v>
      </c>
      <c r="BQ8" s="116">
        <v>-25.916198288725997</v>
      </c>
      <c r="BR8" s="116">
        <v>-24.268238457479519</v>
      </c>
      <c r="BS8" s="116">
        <v>-22.790111213000067</v>
      </c>
      <c r="BT8" s="116">
        <v>-21.423183271593977</v>
      </c>
      <c r="BU8" s="116">
        <v>-20.232668144461009</v>
      </c>
      <c r="BV8" s="116">
        <v>-19.161187992088539</v>
      </c>
      <c r="BW8" s="116">
        <v>-18.195806707485069</v>
      </c>
      <c r="BX8" s="116">
        <v>-17.362671158023385</v>
      </c>
      <c r="BY8" s="116">
        <v>-16.621789571324868</v>
      </c>
      <c r="BZ8" s="116">
        <v>-15.995761446042412</v>
      </c>
      <c r="CA8" s="116">
        <v>-15.474168936018447</v>
      </c>
      <c r="CB8" s="116">
        <v>-15.031413004539369</v>
      </c>
      <c r="CC8" s="116">
        <v>-14.686419448399631</v>
      </c>
      <c r="CD8" s="116">
        <v>-14.461511778247994</v>
      </c>
      <c r="CE8" s="116">
        <v>-14.377892331386752</v>
      </c>
      <c r="CF8" s="116">
        <v>-14.390007057651868</v>
      </c>
      <c r="CG8" s="116">
        <v>-14.511525153502371</v>
      </c>
      <c r="CH8" s="116">
        <v>-14.696628680331953</v>
      </c>
      <c r="CI8" s="116">
        <v>-14.929045930751045</v>
      </c>
      <c r="CJ8" s="116">
        <v>-15.167930024989682</v>
      </c>
      <c r="CK8" s="116">
        <v>-15.406993830402925</v>
      </c>
      <c r="CL8" s="116">
        <v>-15.599884103363989</v>
      </c>
      <c r="CM8" s="116">
        <v>-15.674043078753719</v>
      </c>
      <c r="CN8" s="116">
        <v>-15.711190399446581</v>
      </c>
      <c r="CO8" s="116">
        <v>-15.591887333318272</v>
      </c>
      <c r="CP8" s="116">
        <v>-15.439889292644725</v>
      </c>
      <c r="CQ8" s="116">
        <v>-15.026742068015199</v>
      </c>
      <c r="CR8" s="116">
        <v>-14.565689102128847</v>
      </c>
      <c r="CS8" s="116">
        <v>-13.906547622616467</v>
      </c>
      <c r="CT8" s="116">
        <v>-13.130703488646938</v>
      </c>
      <c r="CU8" s="116">
        <v>-12.275881746566252</v>
      </c>
      <c r="CV8" s="116">
        <v>-11.17221797716995</v>
      </c>
      <c r="CW8" s="116">
        <v>-9.8683555177829234</v>
      </c>
      <c r="CX8" s="116">
        <v>-8.52637972886974</v>
      </c>
      <c r="CY8" s="116">
        <v>-7.2832526668177442</v>
      </c>
      <c r="CZ8" s="116">
        <v>-5.7356629331802367</v>
      </c>
      <c r="DA8" s="116">
        <v>-4.5215362956132186</v>
      </c>
      <c r="DB8" s="116">
        <v>-3.4089515824464236</v>
      </c>
      <c r="DC8" s="116">
        <v>-2.4345234484634375</v>
      </c>
      <c r="DD8" s="116">
        <v>-1.6269962826658473</v>
      </c>
      <c r="DE8" s="116">
        <v>-0.9999016968876453</v>
      </c>
      <c r="DF8" s="116">
        <v>-0.5535077193578114</v>
      </c>
      <c r="DG8" s="116">
        <v>-0.26788348843476256</v>
      </c>
      <c r="DH8" s="116">
        <v>-0.10895040868743371</v>
      </c>
      <c r="DI8" s="116">
        <v>-3.4185576367812519E-2</v>
      </c>
      <c r="DJ8" s="116">
        <v>-8.4413809987509397E-3</v>
      </c>
      <c r="DK8" s="116">
        <v>-1.7724291754053327E-3</v>
      </c>
      <c r="DL8" s="116">
        <v>-3.7209900589224337E-4</v>
      </c>
      <c r="DM8" s="116">
        <v>-7.8123998822070284E-5</v>
      </c>
      <c r="DN8" s="116">
        <v>-1.6408963124084662E-5</v>
      </c>
      <c r="DO8" s="116">
        <v>-3.4466254044903245E-6</v>
      </c>
      <c r="DP8" s="116">
        <v>-7.2414843028495428E-7</v>
      </c>
      <c r="DQ8" s="116">
        <v>-1.5243835961386403E-7</v>
      </c>
      <c r="DR8" s="116">
        <v>-3.2092926114671384E-8</v>
      </c>
      <c r="DS8" s="116">
        <v>-6.7594045421329551E-9</v>
      </c>
      <c r="DT8" s="116">
        <v>-1.4249739832825747E-9</v>
      </c>
      <c r="DU8" s="116">
        <v>-2.9904963253596554E-10</v>
      </c>
      <c r="DV8" s="116">
        <v>-6.2760480070793611E-11</v>
      </c>
      <c r="DW8" s="116">
        <v>-1.3171112921114303E-11</v>
      </c>
      <c r="DX8" s="116">
        <v>-2.7641978146235009E-12</v>
      </c>
      <c r="DY8" s="116">
        <v>-5.8013117897167393E-13</v>
      </c>
      <c r="DZ8" s="116">
        <v>-1.2175758662432388E-13</v>
      </c>
      <c r="EA8" s="116">
        <v>-2.5555949950274633E-14</v>
      </c>
      <c r="EB8" s="116">
        <v>-5.3639340722197075E-15</v>
      </c>
      <c r="EC8" s="116">
        <v>-1.1259155531956664E-15</v>
      </c>
      <c r="ED8" s="116">
        <v>-2.3633775302324323E-16</v>
      </c>
      <c r="EE8" s="116">
        <v>-4.9606823936213709E-17</v>
      </c>
      <c r="EF8" s="116">
        <v>-1.0413098996748367E-17</v>
      </c>
      <c r="EG8" s="116">
        <v>-2.1854197183354649E-18</v>
      </c>
      <c r="EH8" s="116">
        <v>-4.5917702752245554E-19</v>
      </c>
      <c r="EI8" s="116">
        <v>-9.6219558201204763E-20</v>
      </c>
      <c r="EJ8" s="116">
        <v>-2.0762141104800055E-20</v>
      </c>
      <c r="EK8" s="116">
        <v>-3.1574233760226866E-21</v>
      </c>
      <c r="EL8" s="116">
        <v>0</v>
      </c>
    </row>
    <row r="9" spans="1:142">
      <c r="B9" s="116" t="s">
        <v>71</v>
      </c>
      <c r="C9" s="116">
        <v>0</v>
      </c>
      <c r="D9" s="116">
        <v>-9.2345382640991094</v>
      </c>
      <c r="E9" s="116">
        <v>-5.1722487639812273</v>
      </c>
      <c r="F9" s="116">
        <v>-3.3489431674530605</v>
      </c>
      <c r="G9" s="116">
        <v>-1.6162145589303663</v>
      </c>
      <c r="H9" s="116">
        <v>-2.3959212131675046E-3</v>
      </c>
      <c r="I9" s="116">
        <v>0</v>
      </c>
      <c r="J9" s="116">
        <v>0</v>
      </c>
      <c r="K9" s="116">
        <v>0</v>
      </c>
      <c r="L9" s="116">
        <v>0</v>
      </c>
      <c r="M9" s="116">
        <v>0</v>
      </c>
      <c r="N9" s="116">
        <v>0</v>
      </c>
      <c r="O9" s="116">
        <v>0</v>
      </c>
      <c r="P9" s="116">
        <v>0</v>
      </c>
      <c r="Q9" s="116">
        <v>0</v>
      </c>
      <c r="R9" s="116">
        <v>0</v>
      </c>
      <c r="S9" s="116">
        <v>0</v>
      </c>
      <c r="T9" s="116">
        <v>0</v>
      </c>
      <c r="U9" s="116">
        <v>0</v>
      </c>
      <c r="V9" s="116">
        <v>0</v>
      </c>
      <c r="W9" s="116">
        <v>0</v>
      </c>
      <c r="X9" s="116">
        <v>0</v>
      </c>
      <c r="Y9" s="116">
        <v>0</v>
      </c>
      <c r="Z9" s="116">
        <v>0</v>
      </c>
      <c r="AA9" s="116">
        <v>0</v>
      </c>
      <c r="AB9" s="116">
        <v>0</v>
      </c>
      <c r="AC9" s="116">
        <v>0</v>
      </c>
      <c r="AD9" s="116">
        <v>0</v>
      </c>
      <c r="AE9" s="116">
        <v>0</v>
      </c>
      <c r="AF9" s="116">
        <v>0</v>
      </c>
      <c r="AG9" s="116">
        <v>0</v>
      </c>
      <c r="AH9" s="116">
        <v>0</v>
      </c>
      <c r="AI9" s="116">
        <v>0</v>
      </c>
      <c r="AJ9" s="116">
        <v>0</v>
      </c>
      <c r="AK9" s="116">
        <v>0</v>
      </c>
      <c r="AL9" s="116">
        <v>0</v>
      </c>
      <c r="AM9" s="116">
        <v>0</v>
      </c>
      <c r="AN9" s="116">
        <v>0</v>
      </c>
      <c r="AO9" s="116">
        <v>0</v>
      </c>
      <c r="AP9" s="116">
        <v>0</v>
      </c>
      <c r="AQ9" s="116">
        <v>0</v>
      </c>
      <c r="AR9" s="116">
        <v>0</v>
      </c>
      <c r="AS9" s="116">
        <v>0</v>
      </c>
      <c r="AT9" s="116">
        <v>0</v>
      </c>
      <c r="AU9" s="116">
        <v>0</v>
      </c>
      <c r="AV9" s="116">
        <v>0</v>
      </c>
      <c r="AW9" s="116">
        <v>0</v>
      </c>
      <c r="AX9" s="116">
        <v>0</v>
      </c>
      <c r="AY9" s="116">
        <v>0</v>
      </c>
      <c r="AZ9" s="116">
        <v>0</v>
      </c>
      <c r="BA9" s="116">
        <v>0</v>
      </c>
      <c r="BB9" s="116">
        <v>0</v>
      </c>
      <c r="BC9" s="116">
        <v>0</v>
      </c>
      <c r="BD9" s="116">
        <v>0</v>
      </c>
      <c r="BE9" s="116">
        <v>0</v>
      </c>
      <c r="BF9" s="116">
        <v>0</v>
      </c>
      <c r="BG9" s="116">
        <v>0</v>
      </c>
      <c r="BH9" s="116">
        <v>0</v>
      </c>
      <c r="BI9" s="116">
        <v>0</v>
      </c>
      <c r="BJ9" s="116">
        <v>0</v>
      </c>
      <c r="BK9" s="116">
        <v>0</v>
      </c>
      <c r="BL9" s="116">
        <v>0</v>
      </c>
      <c r="BM9" s="116">
        <v>0</v>
      </c>
      <c r="BN9" s="116">
        <v>0</v>
      </c>
      <c r="BO9" s="116">
        <v>0</v>
      </c>
      <c r="BP9" s="116">
        <v>0</v>
      </c>
      <c r="BQ9" s="116">
        <v>0</v>
      </c>
      <c r="BR9" s="116">
        <v>0</v>
      </c>
      <c r="BS9" s="116">
        <v>0</v>
      </c>
      <c r="BT9" s="116">
        <v>0</v>
      </c>
      <c r="BU9" s="116">
        <v>0</v>
      </c>
      <c r="BV9" s="116">
        <v>0</v>
      </c>
      <c r="BW9" s="116">
        <v>0</v>
      </c>
      <c r="BX9" s="116">
        <v>0</v>
      </c>
      <c r="BY9" s="116">
        <v>0</v>
      </c>
      <c r="BZ9" s="116">
        <v>0</v>
      </c>
      <c r="CA9" s="116">
        <v>0</v>
      </c>
      <c r="CB9" s="116">
        <v>0</v>
      </c>
      <c r="CC9" s="116">
        <v>0</v>
      </c>
      <c r="CD9" s="116">
        <v>0</v>
      </c>
      <c r="CE9" s="116">
        <v>0</v>
      </c>
      <c r="CF9" s="116">
        <v>0</v>
      </c>
      <c r="CG9" s="116">
        <v>0</v>
      </c>
      <c r="CH9" s="116">
        <v>0</v>
      </c>
      <c r="CI9" s="116">
        <v>0</v>
      </c>
      <c r="CJ9" s="116">
        <v>0</v>
      </c>
      <c r="CK9" s="116">
        <v>0</v>
      </c>
      <c r="CL9" s="116">
        <v>0</v>
      </c>
      <c r="CM9" s="116">
        <v>0</v>
      </c>
      <c r="CN9" s="116">
        <v>0</v>
      </c>
      <c r="CO9" s="116">
        <v>0</v>
      </c>
      <c r="CP9" s="116">
        <v>0</v>
      </c>
      <c r="CQ9" s="116">
        <v>0</v>
      </c>
      <c r="CR9" s="116">
        <v>0</v>
      </c>
      <c r="CS9" s="116">
        <v>0</v>
      </c>
      <c r="CT9" s="116">
        <v>0</v>
      </c>
      <c r="CU9" s="116">
        <v>0</v>
      </c>
      <c r="CV9" s="116">
        <v>0</v>
      </c>
      <c r="CW9" s="116">
        <v>0</v>
      </c>
      <c r="CX9" s="116">
        <v>0</v>
      </c>
      <c r="CY9" s="116">
        <v>0</v>
      </c>
      <c r="CZ9" s="116">
        <v>0</v>
      </c>
      <c r="DA9" s="116">
        <v>0</v>
      </c>
      <c r="DB9" s="116">
        <v>0</v>
      </c>
      <c r="DC9" s="116">
        <v>0</v>
      </c>
      <c r="DD9" s="116">
        <v>0</v>
      </c>
      <c r="DE9" s="116">
        <v>0</v>
      </c>
      <c r="DF9" s="116">
        <v>0</v>
      </c>
      <c r="DG9" s="116">
        <v>0</v>
      </c>
      <c r="DH9" s="116">
        <v>0</v>
      </c>
      <c r="DI9" s="116">
        <v>0</v>
      </c>
      <c r="DJ9" s="116">
        <v>0</v>
      </c>
      <c r="DK9" s="116">
        <v>0</v>
      </c>
      <c r="DL9" s="116">
        <v>0</v>
      </c>
      <c r="DM9" s="116">
        <v>0</v>
      </c>
      <c r="DN9" s="116">
        <v>0</v>
      </c>
      <c r="DO9" s="116">
        <v>0</v>
      </c>
      <c r="DP9" s="116">
        <v>0</v>
      </c>
      <c r="DQ9" s="116">
        <v>0</v>
      </c>
      <c r="DR9" s="116">
        <v>0</v>
      </c>
      <c r="DS9" s="116">
        <v>0</v>
      </c>
      <c r="DT9" s="116">
        <v>0</v>
      </c>
      <c r="DU9" s="116">
        <v>0</v>
      </c>
      <c r="DV9" s="116">
        <v>0</v>
      </c>
      <c r="DW9" s="116">
        <v>0</v>
      </c>
      <c r="DX9" s="116">
        <v>0</v>
      </c>
      <c r="DY9" s="116">
        <v>0</v>
      </c>
      <c r="DZ9" s="116">
        <v>0</v>
      </c>
      <c r="EA9" s="116">
        <v>0</v>
      </c>
      <c r="EB9" s="116">
        <v>0</v>
      </c>
      <c r="EC9" s="116">
        <v>0</v>
      </c>
      <c r="ED9" s="116">
        <v>0</v>
      </c>
      <c r="EE9" s="116">
        <v>0</v>
      </c>
      <c r="EF9" s="116">
        <v>0</v>
      </c>
      <c r="EG9" s="116">
        <v>0</v>
      </c>
      <c r="EH9" s="116">
        <v>0</v>
      </c>
      <c r="EI9" s="116">
        <v>0</v>
      </c>
      <c r="EJ9" s="116">
        <v>0</v>
      </c>
      <c r="EK9" s="116">
        <v>0</v>
      </c>
      <c r="EL9" s="116">
        <v>0</v>
      </c>
    </row>
    <row r="10" spans="1:142">
      <c r="B10" s="116" t="s">
        <v>145</v>
      </c>
      <c r="C10" s="116">
        <v>0</v>
      </c>
      <c r="D10" s="116">
        <v>-0.96921908197227757</v>
      </c>
      <c r="E10" s="116">
        <v>-1.2922209406512524</v>
      </c>
      <c r="F10" s="116">
        <v>-1.5408614053341843</v>
      </c>
      <c r="G10" s="116">
        <v>-1.7148611278094343</v>
      </c>
      <c r="H10" s="116">
        <v>-1.801929405702154</v>
      </c>
      <c r="I10" s="116">
        <v>-1.8191060229552873</v>
      </c>
      <c r="J10" s="116">
        <v>-1.8043698538130426</v>
      </c>
      <c r="K10" s="116">
        <v>-1.7928080999944858</v>
      </c>
      <c r="L10" s="116">
        <v>-1.8055503644655482</v>
      </c>
      <c r="M10" s="116">
        <v>-1.8726620401580021</v>
      </c>
      <c r="N10" s="116">
        <v>-2.0277039312372662</v>
      </c>
      <c r="O10" s="116">
        <v>-2.1616269641003383</v>
      </c>
      <c r="P10" s="116">
        <v>-2.2597224506426428</v>
      </c>
      <c r="Q10" s="116">
        <v>-2.3619316177003755</v>
      </c>
      <c r="R10" s="116">
        <v>-2.6011460978689187</v>
      </c>
      <c r="S10" s="116">
        <v>-4.9209951655972226</v>
      </c>
      <c r="T10" s="116">
        <v>-6.445368973348482</v>
      </c>
      <c r="U10" s="116">
        <v>-6.6522127685619834</v>
      </c>
      <c r="V10" s="116">
        <v>-6.8607565614966193</v>
      </c>
      <c r="W10" s="116">
        <v>-7.097013957104136</v>
      </c>
      <c r="X10" s="116">
        <v>-7.3347951350813103</v>
      </c>
      <c r="Y10" s="116">
        <v>-7.5452591172405876</v>
      </c>
      <c r="Z10" s="116">
        <v>-7.7542294469892195</v>
      </c>
      <c r="AA10" s="116">
        <v>-7.9777603288121854</v>
      </c>
      <c r="AB10" s="116">
        <v>-8.7518916661656121</v>
      </c>
      <c r="AC10" s="116">
        <v>-9.2614304533673479</v>
      </c>
      <c r="AD10" s="116">
        <v>-9.501425017682319</v>
      </c>
      <c r="AE10" s="116">
        <v>-9.7416846252891798</v>
      </c>
      <c r="AF10" s="116">
        <v>-9.9841743388144142</v>
      </c>
      <c r="AG10" s="116">
        <v>-10.407423943581851</v>
      </c>
      <c r="AH10" s="116">
        <v>-10.744186174297218</v>
      </c>
      <c r="AI10" s="116">
        <v>-11.005778444672391</v>
      </c>
      <c r="AJ10" s="116">
        <v>-11.273226274141972</v>
      </c>
      <c r="AK10" s="116">
        <v>-11.549689824125336</v>
      </c>
      <c r="AL10" s="116">
        <v>-11.838415988843643</v>
      </c>
      <c r="AM10" s="116">
        <v>-12.143244540799826</v>
      </c>
      <c r="AN10" s="116">
        <v>-12.46362169667661</v>
      </c>
      <c r="AO10" s="116">
        <v>-12.801697797673771</v>
      </c>
      <c r="AP10" s="116">
        <v>-13.166548707917805</v>
      </c>
      <c r="AQ10" s="116">
        <v>-13.560752775789167</v>
      </c>
      <c r="AR10" s="116">
        <v>-13.986609285440631</v>
      </c>
      <c r="AS10" s="116">
        <v>-14.449583893561561</v>
      </c>
      <c r="AT10" s="116">
        <v>-14.950466082411115</v>
      </c>
      <c r="AU10" s="116">
        <v>-15.491819145683708</v>
      </c>
      <c r="AV10" s="116">
        <v>-16.077757352537212</v>
      </c>
      <c r="AW10" s="116">
        <v>-16.714012509777419</v>
      </c>
      <c r="AX10" s="116">
        <v>-17.402366858725568</v>
      </c>
      <c r="AY10" s="116">
        <v>-18.144572167409148</v>
      </c>
      <c r="AZ10" s="116">
        <v>-18.946393119335166</v>
      </c>
      <c r="BA10" s="116">
        <v>-19.810032851459237</v>
      </c>
      <c r="BB10" s="116">
        <v>-20.742569580837618</v>
      </c>
      <c r="BC10" s="116">
        <v>-21.747115311650361</v>
      </c>
      <c r="BD10" s="116">
        <v>-22.828329687170896</v>
      </c>
      <c r="BE10" s="116">
        <v>-23.988717105903831</v>
      </c>
      <c r="BF10" s="116">
        <v>-25.227342331957288</v>
      </c>
      <c r="BG10" s="116">
        <v>-26.542950725360718</v>
      </c>
      <c r="BH10" s="116">
        <v>-27.956862790689737</v>
      </c>
      <c r="BI10" s="116">
        <v>-29.458058112701355</v>
      </c>
      <c r="BJ10" s="116">
        <v>-31.043552577364999</v>
      </c>
      <c r="BK10" s="116">
        <v>-32.727559269875975</v>
      </c>
      <c r="BL10" s="116">
        <v>-34.502496809846271</v>
      </c>
      <c r="BM10" s="116">
        <v>-36.374621297151386</v>
      </c>
      <c r="BN10" s="116">
        <v>-38.321568783919126</v>
      </c>
      <c r="BO10" s="116">
        <v>-40.323714053791051</v>
      </c>
      <c r="BP10" s="116">
        <v>-42.297000332844412</v>
      </c>
      <c r="BQ10" s="116">
        <v>-44.278157005773394</v>
      </c>
      <c r="BR10" s="116">
        <v>-46.305354507537153</v>
      </c>
      <c r="BS10" s="116">
        <v>-48.493752473686584</v>
      </c>
      <c r="BT10" s="116">
        <v>-50.781461920511859</v>
      </c>
      <c r="BU10" s="116">
        <v>-52.993170911051834</v>
      </c>
      <c r="BV10" s="116">
        <v>-54.999951998092392</v>
      </c>
      <c r="BW10" s="116">
        <v>-56.833841582542902</v>
      </c>
      <c r="BX10" s="116">
        <v>-58.410727689033941</v>
      </c>
      <c r="BY10" s="116">
        <v>-60.012121614431294</v>
      </c>
      <c r="BZ10" s="116">
        <v>-61.452332364929362</v>
      </c>
      <c r="CA10" s="116">
        <v>-62.53430063409273</v>
      </c>
      <c r="CB10" s="116">
        <v>-63.431161127890498</v>
      </c>
      <c r="CC10" s="116">
        <v>-63.645849642265631</v>
      </c>
      <c r="CD10" s="116">
        <v>-63.805066066061926</v>
      </c>
      <c r="CE10" s="116">
        <v>-63.865871702941135</v>
      </c>
      <c r="CF10" s="116">
        <v>-64.608582678307528</v>
      </c>
      <c r="CG10" s="116">
        <v>-65.37568433137163</v>
      </c>
      <c r="CH10" s="116">
        <v>-64.300376025127576</v>
      </c>
      <c r="CI10" s="116">
        <v>-63.670136064528542</v>
      </c>
      <c r="CJ10" s="116">
        <v>-63.311807119230167</v>
      </c>
      <c r="CK10" s="116">
        <v>-62.542304575470993</v>
      </c>
      <c r="CL10" s="116">
        <v>-62.176093029447117</v>
      </c>
      <c r="CM10" s="116">
        <v>-61.573118630168153</v>
      </c>
      <c r="CN10" s="116">
        <v>-60.798573831042397</v>
      </c>
      <c r="CO10" s="116">
        <v>-59.517247821732909</v>
      </c>
      <c r="CP10" s="116">
        <v>-58.147556663343515</v>
      </c>
      <c r="CQ10" s="116">
        <v>-56.441399562315134</v>
      </c>
      <c r="CR10" s="116">
        <v>-55.161100979387903</v>
      </c>
      <c r="CS10" s="116">
        <v>-53.327920979752996</v>
      </c>
      <c r="CT10" s="116">
        <v>-51.71758944014703</v>
      </c>
      <c r="CU10" s="116">
        <v>-48.431187213712398</v>
      </c>
      <c r="CV10" s="116">
        <v>-45.440628414405509</v>
      </c>
      <c r="CW10" s="116">
        <v>-42.101739640403174</v>
      </c>
      <c r="CX10" s="116">
        <v>-39.935200462056962</v>
      </c>
      <c r="CY10" s="116">
        <v>-37.960008202383079</v>
      </c>
      <c r="CZ10" s="116">
        <v>-35.115739501450051</v>
      </c>
      <c r="DA10" s="116">
        <v>-31.924253379453297</v>
      </c>
      <c r="DB10" s="116">
        <v>-29.525294956223007</v>
      </c>
      <c r="DC10" s="116">
        <v>-27.880427522859627</v>
      </c>
      <c r="DD10" s="116">
        <v>-26.573201178398165</v>
      </c>
      <c r="DE10" s="116">
        <v>-25.749444134219832</v>
      </c>
      <c r="DF10" s="116">
        <v>-24.787220006714598</v>
      </c>
      <c r="DG10" s="116">
        <v>-24.239289500115465</v>
      </c>
      <c r="DH10" s="116">
        <v>-22.52730522566247</v>
      </c>
      <c r="DI10" s="116">
        <v>-20.248317349980645</v>
      </c>
      <c r="DJ10" s="116">
        <v>-18.150951973064466</v>
      </c>
      <c r="DK10" s="116">
        <v>-16.923713869134716</v>
      </c>
      <c r="DL10" s="116">
        <v>-14.110181735009855</v>
      </c>
      <c r="DM10" s="116">
        <v>-12.024198637817738</v>
      </c>
      <c r="DN10" s="116">
        <v>-11.539242737823903</v>
      </c>
      <c r="DO10" s="116">
        <v>-11.381345845943665</v>
      </c>
      <c r="DP10" s="116">
        <v>-11.42432348216569</v>
      </c>
      <c r="DQ10" s="116">
        <v>-11.344784295095243</v>
      </c>
      <c r="DR10" s="116">
        <v>-11.318491878947647</v>
      </c>
      <c r="DS10" s="116">
        <v>-11.502440733017318</v>
      </c>
      <c r="DT10" s="116">
        <v>-11.325237755341533</v>
      </c>
      <c r="DU10" s="116">
        <v>-10.963730931171273</v>
      </c>
      <c r="DV10" s="116">
        <v>-10.592092465053991</v>
      </c>
      <c r="DW10" s="116">
        <v>-10.333331885683577</v>
      </c>
      <c r="DX10" s="116">
        <v>-10.376161473509612</v>
      </c>
      <c r="DY10" s="116">
        <v>-9.9782633403166017</v>
      </c>
      <c r="DZ10" s="116">
        <v>-9.8053199156824533</v>
      </c>
      <c r="EA10" s="116">
        <v>-9.574177779830416</v>
      </c>
      <c r="EB10" s="116">
        <v>-8.1661888403965719</v>
      </c>
      <c r="EC10" s="116">
        <v>-6.8625064067951937</v>
      </c>
      <c r="ED10" s="116">
        <v>-6.4796277695787694</v>
      </c>
      <c r="EE10" s="116">
        <v>-5.772810422983599</v>
      </c>
      <c r="EF10" s="116">
        <v>-4.689994312108837</v>
      </c>
      <c r="EG10" s="116">
        <v>-3.7699146805242871</v>
      </c>
      <c r="EH10" s="116">
        <v>-3.1801326854978536</v>
      </c>
      <c r="EI10" s="116">
        <v>-2.1064249240019821</v>
      </c>
      <c r="EJ10" s="116">
        <v>-0.6990855597656912</v>
      </c>
      <c r="EK10" s="116">
        <v>-0.13927276267906194</v>
      </c>
      <c r="EL10" s="116">
        <v>0</v>
      </c>
    </row>
    <row r="11" spans="1:142" s="118" customFormat="1"/>
    <row r="15" spans="1:142">
      <c r="A15" s="120" t="s">
        <v>144</v>
      </c>
    </row>
    <row r="17" spans="2:142">
      <c r="B17" s="120" t="s">
        <v>144</v>
      </c>
      <c r="C17" s="120">
        <v>0</v>
      </c>
      <c r="D17" s="120">
        <v>1</v>
      </c>
      <c r="E17" s="120">
        <v>2</v>
      </c>
      <c r="F17" s="120">
        <v>3</v>
      </c>
      <c r="G17" s="120">
        <v>4</v>
      </c>
      <c r="H17" s="120">
        <v>5</v>
      </c>
      <c r="I17" s="120">
        <v>6</v>
      </c>
      <c r="J17" s="120">
        <v>7</v>
      </c>
      <c r="K17" s="120">
        <v>8</v>
      </c>
      <c r="L17" s="120">
        <v>9</v>
      </c>
      <c r="M17" s="120">
        <v>10</v>
      </c>
      <c r="N17" s="120">
        <v>11</v>
      </c>
      <c r="O17" s="120">
        <v>12</v>
      </c>
      <c r="P17" s="120">
        <v>13</v>
      </c>
      <c r="Q17" s="120">
        <v>14</v>
      </c>
      <c r="R17" s="120">
        <v>15</v>
      </c>
      <c r="S17" s="120">
        <v>16</v>
      </c>
      <c r="T17" s="120">
        <v>17</v>
      </c>
      <c r="U17" s="120">
        <v>18</v>
      </c>
      <c r="V17" s="120">
        <v>19</v>
      </c>
      <c r="W17" s="120">
        <v>20</v>
      </c>
      <c r="X17" s="120">
        <v>21</v>
      </c>
      <c r="Y17" s="120">
        <v>22</v>
      </c>
      <c r="Z17" s="120">
        <v>23</v>
      </c>
      <c r="AA17" s="120">
        <v>24</v>
      </c>
      <c r="AB17" s="120">
        <v>25</v>
      </c>
      <c r="AC17" s="120">
        <v>26</v>
      </c>
      <c r="AD17" s="120">
        <v>27</v>
      </c>
      <c r="AE17" s="120">
        <v>28</v>
      </c>
      <c r="AF17" s="120">
        <v>29</v>
      </c>
      <c r="AG17" s="120">
        <v>30</v>
      </c>
      <c r="AH17" s="120">
        <v>31</v>
      </c>
      <c r="AI17" s="120">
        <v>32</v>
      </c>
      <c r="AJ17" s="120">
        <v>33</v>
      </c>
      <c r="AK17" s="120">
        <v>34</v>
      </c>
      <c r="AL17" s="120">
        <v>35</v>
      </c>
      <c r="AM17" s="120">
        <v>36</v>
      </c>
      <c r="AN17" s="120">
        <v>37</v>
      </c>
      <c r="AO17" s="120">
        <v>38</v>
      </c>
      <c r="AP17" s="120">
        <v>39</v>
      </c>
      <c r="AQ17" s="120">
        <v>40</v>
      </c>
      <c r="AR17" s="120">
        <v>41</v>
      </c>
      <c r="AS17" s="120">
        <v>42</v>
      </c>
      <c r="AT17" s="120">
        <v>43</v>
      </c>
      <c r="AU17" s="120">
        <v>44</v>
      </c>
      <c r="AV17" s="120">
        <v>45</v>
      </c>
      <c r="AW17" s="120">
        <v>46</v>
      </c>
      <c r="AX17" s="120">
        <v>47</v>
      </c>
      <c r="AY17" s="120">
        <v>48</v>
      </c>
      <c r="AZ17" s="120">
        <v>49</v>
      </c>
      <c r="BA17" s="120">
        <v>50</v>
      </c>
      <c r="BB17" s="120">
        <v>51</v>
      </c>
      <c r="BC17" s="120">
        <v>52</v>
      </c>
      <c r="BD17" s="120">
        <v>53</v>
      </c>
      <c r="BE17" s="120">
        <v>54</v>
      </c>
      <c r="BF17" s="120">
        <v>55</v>
      </c>
      <c r="BG17" s="120">
        <v>56</v>
      </c>
      <c r="BH17" s="120">
        <v>57</v>
      </c>
      <c r="BI17" s="120">
        <v>58</v>
      </c>
      <c r="BJ17" s="120">
        <v>59</v>
      </c>
      <c r="BK17" s="120">
        <v>60</v>
      </c>
      <c r="BL17" s="120">
        <v>61</v>
      </c>
      <c r="BM17" s="120">
        <v>62</v>
      </c>
      <c r="BN17" s="120">
        <v>63</v>
      </c>
      <c r="BO17" s="120">
        <v>64</v>
      </c>
      <c r="BP17" s="120">
        <v>65</v>
      </c>
      <c r="BQ17" s="120">
        <v>66</v>
      </c>
      <c r="BR17" s="120">
        <v>67</v>
      </c>
      <c r="BS17" s="120">
        <v>68</v>
      </c>
      <c r="BT17" s="120">
        <v>69</v>
      </c>
      <c r="BU17" s="120">
        <v>70</v>
      </c>
      <c r="BV17" s="120">
        <v>71</v>
      </c>
      <c r="BW17" s="120">
        <v>72</v>
      </c>
      <c r="BX17" s="120">
        <v>73</v>
      </c>
      <c r="BY17" s="120">
        <v>74</v>
      </c>
      <c r="BZ17" s="120">
        <v>75</v>
      </c>
      <c r="CA17" s="120">
        <v>76</v>
      </c>
      <c r="CB17" s="120">
        <v>77</v>
      </c>
      <c r="CC17" s="120">
        <v>78</v>
      </c>
      <c r="CD17" s="120">
        <v>79</v>
      </c>
      <c r="CE17" s="120">
        <v>80</v>
      </c>
      <c r="CF17" s="120">
        <v>81</v>
      </c>
      <c r="CG17" s="120">
        <v>82</v>
      </c>
      <c r="CH17" s="120">
        <v>83</v>
      </c>
      <c r="CI17" s="120">
        <v>84</v>
      </c>
      <c r="CJ17" s="120">
        <v>85</v>
      </c>
      <c r="CK17" s="120">
        <v>86</v>
      </c>
      <c r="CL17" s="120">
        <v>87</v>
      </c>
      <c r="CM17" s="120">
        <v>88</v>
      </c>
      <c r="CN17" s="120">
        <v>89</v>
      </c>
      <c r="CO17" s="120">
        <v>90</v>
      </c>
      <c r="CP17" s="120">
        <v>91</v>
      </c>
      <c r="CQ17" s="120">
        <v>92</v>
      </c>
      <c r="CR17" s="120">
        <v>93</v>
      </c>
      <c r="CS17" s="120">
        <v>94</v>
      </c>
      <c r="CT17" s="120">
        <v>95</v>
      </c>
      <c r="CU17" s="120">
        <v>96</v>
      </c>
      <c r="CV17" s="120">
        <v>97</v>
      </c>
      <c r="CW17" s="120">
        <v>98</v>
      </c>
      <c r="CX17" s="120">
        <v>99</v>
      </c>
      <c r="CY17" s="120">
        <v>100</v>
      </c>
      <c r="CZ17" s="120">
        <v>101</v>
      </c>
      <c r="DA17" s="120">
        <v>102</v>
      </c>
      <c r="DB17" s="120">
        <v>103</v>
      </c>
      <c r="DC17" s="120">
        <v>104</v>
      </c>
      <c r="DD17" s="120">
        <v>105</v>
      </c>
      <c r="DE17" s="120">
        <v>106</v>
      </c>
      <c r="DF17" s="120">
        <v>107</v>
      </c>
      <c r="DG17" s="120">
        <v>108</v>
      </c>
      <c r="DH17" s="120">
        <v>109</v>
      </c>
      <c r="DI17" s="120">
        <v>110</v>
      </c>
      <c r="DJ17" s="120">
        <v>111</v>
      </c>
      <c r="DK17" s="120">
        <v>112</v>
      </c>
      <c r="DL17" s="120">
        <v>113</v>
      </c>
      <c r="DM17" s="120">
        <v>114</v>
      </c>
      <c r="DN17" s="120">
        <v>115</v>
      </c>
      <c r="DO17" s="120">
        <v>116</v>
      </c>
      <c r="DP17" s="120">
        <v>117</v>
      </c>
      <c r="DQ17" s="120">
        <v>118</v>
      </c>
      <c r="DR17" s="120">
        <v>119</v>
      </c>
      <c r="DS17" s="120">
        <v>120</v>
      </c>
      <c r="DT17" s="120">
        <v>121</v>
      </c>
      <c r="DU17" s="120">
        <v>122</v>
      </c>
      <c r="DV17" s="120">
        <v>123</v>
      </c>
      <c r="DW17" s="120">
        <v>124</v>
      </c>
      <c r="DX17" s="120">
        <v>125</v>
      </c>
      <c r="DY17" s="120">
        <v>126</v>
      </c>
      <c r="DZ17" s="120">
        <v>127</v>
      </c>
      <c r="EA17" s="120">
        <v>128</v>
      </c>
      <c r="EB17" s="120">
        <v>129</v>
      </c>
      <c r="EC17" s="120">
        <v>130</v>
      </c>
      <c r="ED17" s="120">
        <v>131</v>
      </c>
      <c r="EE17" s="120">
        <v>132</v>
      </c>
      <c r="EF17" s="120">
        <v>133</v>
      </c>
      <c r="EG17" s="120">
        <v>134</v>
      </c>
      <c r="EH17" s="120">
        <v>135</v>
      </c>
      <c r="EI17" s="120">
        <v>136</v>
      </c>
      <c r="EJ17" s="120">
        <v>137</v>
      </c>
      <c r="EK17" s="120">
        <v>138</v>
      </c>
      <c r="EL17" s="120">
        <v>139</v>
      </c>
    </row>
    <row r="18" spans="2:142">
      <c r="B18" s="116" t="s">
        <v>64</v>
      </c>
      <c r="C18" s="116">
        <v>0</v>
      </c>
      <c r="D18" s="116">
        <v>79.944999999999993</v>
      </c>
      <c r="E18" s="116">
        <v>158.28780730863423</v>
      </c>
      <c r="F18" s="116">
        <v>228.1777213387596</v>
      </c>
      <c r="G18" s="116">
        <v>300.39462421292444</v>
      </c>
      <c r="H18" s="116">
        <v>241.33981508517729</v>
      </c>
      <c r="I18" s="116">
        <v>169.73674672246173</v>
      </c>
      <c r="J18" s="116">
        <v>119.55036505798758</v>
      </c>
      <c r="K18" s="116">
        <v>65.074756767251856</v>
      </c>
      <c r="L18" s="116">
        <v>7.4597354136799296</v>
      </c>
      <c r="M18" s="116">
        <v>7.3222656839576459</v>
      </c>
      <c r="N18" s="116">
        <v>6.2320686707138382</v>
      </c>
      <c r="O18" s="116">
        <v>4.6809454200114571</v>
      </c>
      <c r="P18" s="116">
        <v>2.5504787441497458</v>
      </c>
      <c r="Q18" s="116">
        <v>0</v>
      </c>
      <c r="R18" s="116">
        <v>0</v>
      </c>
      <c r="S18" s="116">
        <v>0</v>
      </c>
      <c r="T18" s="116">
        <v>0</v>
      </c>
      <c r="U18" s="116">
        <v>0</v>
      </c>
      <c r="V18" s="116">
        <v>0</v>
      </c>
      <c r="W18" s="116">
        <v>0</v>
      </c>
      <c r="X18" s="116">
        <v>0</v>
      </c>
      <c r="Y18" s="116">
        <v>0</v>
      </c>
      <c r="Z18" s="116">
        <v>0</v>
      </c>
      <c r="AA18" s="116">
        <v>0</v>
      </c>
      <c r="AB18" s="116">
        <v>0</v>
      </c>
      <c r="AC18" s="116">
        <v>0</v>
      </c>
      <c r="AD18" s="116">
        <v>0</v>
      </c>
      <c r="AE18" s="116">
        <v>0</v>
      </c>
      <c r="AF18" s="116">
        <v>0</v>
      </c>
      <c r="AG18" s="116">
        <v>0</v>
      </c>
      <c r="AH18" s="116">
        <v>0</v>
      </c>
      <c r="AI18" s="116">
        <v>0</v>
      </c>
      <c r="AJ18" s="116">
        <v>0</v>
      </c>
      <c r="AK18" s="116">
        <v>0</v>
      </c>
      <c r="AL18" s="116">
        <v>0</v>
      </c>
      <c r="AM18" s="116">
        <v>0</v>
      </c>
      <c r="AN18" s="116">
        <v>0</v>
      </c>
      <c r="AO18" s="116">
        <v>0</v>
      </c>
      <c r="AP18" s="116">
        <v>0</v>
      </c>
      <c r="AQ18" s="116">
        <v>0</v>
      </c>
      <c r="AR18" s="116">
        <v>0</v>
      </c>
      <c r="AS18" s="116">
        <v>0</v>
      </c>
      <c r="AT18" s="116">
        <v>0</v>
      </c>
      <c r="AU18" s="116">
        <v>0</v>
      </c>
      <c r="AV18" s="116">
        <v>0</v>
      </c>
      <c r="AW18" s="116">
        <v>0</v>
      </c>
      <c r="AX18" s="116">
        <v>0</v>
      </c>
      <c r="AY18" s="116">
        <v>0</v>
      </c>
      <c r="AZ18" s="116">
        <v>0</v>
      </c>
      <c r="BA18" s="116">
        <v>0</v>
      </c>
      <c r="BB18" s="116">
        <v>0</v>
      </c>
      <c r="BC18" s="116">
        <v>0</v>
      </c>
      <c r="BD18" s="116">
        <v>0</v>
      </c>
      <c r="BE18" s="116">
        <v>0</v>
      </c>
      <c r="BF18" s="116">
        <v>0</v>
      </c>
      <c r="BG18" s="116">
        <v>0</v>
      </c>
      <c r="BH18" s="116">
        <v>0</v>
      </c>
      <c r="BI18" s="116">
        <v>0</v>
      </c>
      <c r="BJ18" s="116">
        <v>0</v>
      </c>
      <c r="BK18" s="116">
        <v>0</v>
      </c>
      <c r="BL18" s="116">
        <v>0</v>
      </c>
      <c r="BM18" s="116">
        <v>0</v>
      </c>
      <c r="BN18" s="116">
        <v>0</v>
      </c>
      <c r="BO18" s="116">
        <v>0</v>
      </c>
      <c r="BP18" s="116">
        <v>0</v>
      </c>
      <c r="BQ18" s="116">
        <v>0</v>
      </c>
      <c r="BR18" s="116">
        <v>0</v>
      </c>
      <c r="BS18" s="116">
        <v>0</v>
      </c>
      <c r="BT18" s="116">
        <v>0</v>
      </c>
      <c r="BU18" s="116">
        <v>0</v>
      </c>
      <c r="BV18" s="116">
        <v>0</v>
      </c>
      <c r="BW18" s="116">
        <v>0</v>
      </c>
      <c r="BX18" s="116">
        <v>0</v>
      </c>
      <c r="BY18" s="116">
        <v>0</v>
      </c>
      <c r="BZ18" s="116">
        <v>0</v>
      </c>
      <c r="CA18" s="116">
        <v>0</v>
      </c>
      <c r="CB18" s="116">
        <v>0</v>
      </c>
      <c r="CC18" s="116">
        <v>0</v>
      </c>
      <c r="CD18" s="116">
        <v>0</v>
      </c>
      <c r="CE18" s="116">
        <v>0</v>
      </c>
      <c r="CF18" s="116">
        <v>0</v>
      </c>
      <c r="CG18" s="116">
        <v>0</v>
      </c>
      <c r="CH18" s="116">
        <v>0</v>
      </c>
      <c r="CI18" s="116">
        <v>0</v>
      </c>
      <c r="CJ18" s="116">
        <v>0</v>
      </c>
      <c r="CK18" s="116">
        <v>0</v>
      </c>
      <c r="CL18" s="116">
        <v>0</v>
      </c>
      <c r="CM18" s="116">
        <v>0</v>
      </c>
      <c r="CN18" s="116">
        <v>0</v>
      </c>
      <c r="CO18" s="116">
        <v>0</v>
      </c>
      <c r="CP18" s="116">
        <v>0</v>
      </c>
      <c r="CQ18" s="116">
        <v>0</v>
      </c>
      <c r="CR18" s="116">
        <v>0</v>
      </c>
      <c r="CS18" s="116">
        <v>0</v>
      </c>
      <c r="CT18" s="116">
        <v>0</v>
      </c>
      <c r="CU18" s="116">
        <v>0</v>
      </c>
      <c r="CV18" s="116">
        <v>0</v>
      </c>
      <c r="CW18" s="116">
        <v>0</v>
      </c>
      <c r="CX18" s="116">
        <v>0</v>
      </c>
      <c r="CY18" s="116">
        <v>0</v>
      </c>
      <c r="CZ18" s="116">
        <v>0</v>
      </c>
      <c r="DA18" s="116">
        <v>0</v>
      </c>
      <c r="DB18" s="116">
        <v>0</v>
      </c>
      <c r="DC18" s="116">
        <v>0</v>
      </c>
      <c r="DD18" s="116">
        <v>0</v>
      </c>
      <c r="DE18" s="116">
        <v>0</v>
      </c>
      <c r="DF18" s="116">
        <v>0</v>
      </c>
      <c r="DG18" s="116">
        <v>0</v>
      </c>
      <c r="DH18" s="116">
        <v>0</v>
      </c>
      <c r="DI18" s="116">
        <v>0</v>
      </c>
      <c r="DJ18" s="116">
        <v>0</v>
      </c>
      <c r="DK18" s="116">
        <v>0</v>
      </c>
      <c r="DL18" s="116">
        <v>0</v>
      </c>
      <c r="DM18" s="116">
        <v>0</v>
      </c>
      <c r="DN18" s="116">
        <v>0</v>
      </c>
      <c r="DO18" s="116">
        <v>0</v>
      </c>
      <c r="DP18" s="116">
        <v>0</v>
      </c>
      <c r="DQ18" s="116">
        <v>0</v>
      </c>
      <c r="DR18" s="116">
        <v>0</v>
      </c>
      <c r="DS18" s="116">
        <v>0</v>
      </c>
      <c r="DT18" s="116">
        <v>0</v>
      </c>
      <c r="DU18" s="116">
        <v>0</v>
      </c>
      <c r="DV18" s="116">
        <v>0</v>
      </c>
      <c r="DW18" s="116">
        <v>0</v>
      </c>
      <c r="DX18" s="116">
        <v>0</v>
      </c>
      <c r="DY18" s="116">
        <v>0</v>
      </c>
      <c r="DZ18" s="116">
        <v>0</v>
      </c>
      <c r="EA18" s="116">
        <v>0</v>
      </c>
      <c r="EB18" s="116">
        <v>0</v>
      </c>
      <c r="EC18" s="116">
        <v>0</v>
      </c>
      <c r="ED18" s="116">
        <v>0</v>
      </c>
      <c r="EE18" s="116">
        <v>0</v>
      </c>
      <c r="EF18" s="116">
        <v>0</v>
      </c>
      <c r="EG18" s="116">
        <v>0</v>
      </c>
      <c r="EH18" s="116">
        <v>0</v>
      </c>
      <c r="EI18" s="116">
        <v>0</v>
      </c>
      <c r="EJ18" s="116">
        <v>0</v>
      </c>
      <c r="EK18" s="116">
        <v>0</v>
      </c>
      <c r="EL18" s="116">
        <v>0</v>
      </c>
    </row>
    <row r="19" spans="2:142">
      <c r="B19" s="116" t="s">
        <v>143</v>
      </c>
      <c r="C19" s="116">
        <v>0</v>
      </c>
      <c r="D19" s="116">
        <v>-45.952014156816055</v>
      </c>
      <c r="E19" s="116">
        <v>-58.499508456412038</v>
      </c>
      <c r="F19" s="116">
        <v>-69.238307953306915</v>
      </c>
      <c r="G19" s="116">
        <v>-79.844117686485959</v>
      </c>
      <c r="H19" s="116">
        <v>-15.304253010683237</v>
      </c>
      <c r="I19" s="116">
        <v>-17.964666371779334</v>
      </c>
      <c r="J19" s="116">
        <v>-28.174727890491582</v>
      </c>
      <c r="K19" s="116">
        <v>-44.2549692665919</v>
      </c>
      <c r="L19" s="116">
        <v>-57.68209283217022</v>
      </c>
      <c r="M19" s="116">
        <v>-68.405422174851878</v>
      </c>
      <c r="N19" s="116">
        <v>-64.874223937359844</v>
      </c>
      <c r="O19" s="116">
        <v>-49.693675577258553</v>
      </c>
      <c r="P19" s="116">
        <v>-36.830209028762511</v>
      </c>
      <c r="Q19" s="116">
        <v>-26.907441628469016</v>
      </c>
      <c r="R19" s="116">
        <v>-23.057608195849276</v>
      </c>
      <c r="S19" s="116">
        <v>-23.083631016063435</v>
      </c>
      <c r="T19" s="116">
        <v>-23.509299786462194</v>
      </c>
      <c r="U19" s="116">
        <v>-23.894650244466149</v>
      </c>
      <c r="V19" s="116">
        <v>-24.234571015650076</v>
      </c>
      <c r="W19" s="116">
        <v>-24.539165936171276</v>
      </c>
      <c r="X19" s="116">
        <v>-24.823371020840636</v>
      </c>
      <c r="Y19" s="116">
        <v>-25.095398677966088</v>
      </c>
      <c r="Z19" s="116">
        <v>-25.354170852689595</v>
      </c>
      <c r="AA19" s="116">
        <v>-25.597496407938181</v>
      </c>
      <c r="AB19" s="116">
        <v>-25.815558229319986</v>
      </c>
      <c r="AC19" s="116">
        <v>-25.992478983582188</v>
      </c>
      <c r="AD19" s="116">
        <v>-26.129853482968016</v>
      </c>
      <c r="AE19" s="116">
        <v>-26.222183278333397</v>
      </c>
      <c r="AF19" s="116">
        <v>-26.272111737903156</v>
      </c>
      <c r="AG19" s="116">
        <v>-26.285573362049625</v>
      </c>
      <c r="AH19" s="116">
        <v>-26.245489949161893</v>
      </c>
      <c r="AI19" s="116">
        <v>-26.152738479837787</v>
      </c>
      <c r="AJ19" s="116">
        <v>-26.005798438560916</v>
      </c>
      <c r="AK19" s="116">
        <v>-25.810586163457383</v>
      </c>
      <c r="AL19" s="116">
        <v>-25.561933705029251</v>
      </c>
      <c r="AM19" s="116">
        <v>-25.257421894162466</v>
      </c>
      <c r="AN19" s="116">
        <v>-24.896564937634217</v>
      </c>
      <c r="AO19" s="116">
        <v>-24.466636640809771</v>
      </c>
      <c r="AP19" s="116">
        <v>-23.982203397370409</v>
      </c>
      <c r="AQ19" s="116">
        <v>-23.449929460773852</v>
      </c>
      <c r="AR19" s="116">
        <v>-22.877328496541118</v>
      </c>
      <c r="AS19" s="116">
        <v>-22.272027939295199</v>
      </c>
      <c r="AT19" s="116">
        <v>-21.629164493322254</v>
      </c>
      <c r="AU19" s="116">
        <v>-20.950492086742919</v>
      </c>
      <c r="AV19" s="116">
        <v>-20.251502795839247</v>
      </c>
      <c r="AW19" s="116">
        <v>-19.537625400319115</v>
      </c>
      <c r="AX19" s="116">
        <v>-18.808777234264539</v>
      </c>
      <c r="AY19" s="116">
        <v>-18.0649086873585</v>
      </c>
      <c r="AZ19" s="116">
        <v>-17.311627774547546</v>
      </c>
      <c r="BA19" s="116">
        <v>-16.560660645009413</v>
      </c>
      <c r="BB19" s="116">
        <v>-15.820406190292688</v>
      </c>
      <c r="BC19" s="116">
        <v>-15.082443608762347</v>
      </c>
      <c r="BD19" s="116">
        <v>-14.353945587411957</v>
      </c>
      <c r="BE19" s="116">
        <v>-13.641774823632414</v>
      </c>
      <c r="BF19" s="116">
        <v>-12.942485592216419</v>
      </c>
      <c r="BG19" s="116">
        <v>-12.255540114084607</v>
      </c>
      <c r="BH19" s="116">
        <v>-11.578826267149219</v>
      </c>
      <c r="BI19" s="116">
        <v>-10.908612319912219</v>
      </c>
      <c r="BJ19" s="116">
        <v>-10.256406530042241</v>
      </c>
      <c r="BK19" s="116">
        <v>-9.6393257859066157</v>
      </c>
      <c r="BL19" s="116">
        <v>-9.0431108316322018</v>
      </c>
      <c r="BM19" s="116">
        <v>-8.4748988887659973</v>
      </c>
      <c r="BN19" s="116">
        <v>-7.9334176771143339</v>
      </c>
      <c r="BO19" s="116">
        <v>-7.4153421640409611</v>
      </c>
      <c r="BP19" s="116">
        <v>-6.9275111531327749</v>
      </c>
      <c r="BQ19" s="116">
        <v>-6.4665282305217593</v>
      </c>
      <c r="BR19" s="116">
        <v>-5.9899025983003682</v>
      </c>
      <c r="BS19" s="116">
        <v>-5.5052847608327475</v>
      </c>
      <c r="BT19" s="116">
        <v>-5.0020459843722778</v>
      </c>
      <c r="BU19" s="116">
        <v>-4.5198211370671268</v>
      </c>
      <c r="BV19" s="116">
        <v>-4.2107928270974062</v>
      </c>
      <c r="BW19" s="116">
        <v>-3.9835592040278205</v>
      </c>
      <c r="BX19" s="116">
        <v>-3.797447150801089</v>
      </c>
      <c r="BY19" s="116">
        <v>-3.6460181615023988</v>
      </c>
      <c r="BZ19" s="116">
        <v>-3.5242241093743574</v>
      </c>
      <c r="CA19" s="116">
        <v>-3.434835551801291</v>
      </c>
      <c r="CB19" s="116">
        <v>-3.3632228840165324</v>
      </c>
      <c r="CC19" s="116">
        <v>-3.3015977052328651</v>
      </c>
      <c r="CD19" s="116">
        <v>-3.2397623669139239</v>
      </c>
      <c r="CE19" s="116">
        <v>-3.1715955139680418</v>
      </c>
      <c r="CF19" s="116">
        <v>-3.095674410734103</v>
      </c>
      <c r="CG19" s="116">
        <v>-2.9929287612753877</v>
      </c>
      <c r="CH19" s="116">
        <v>-2.8749848125266988</v>
      </c>
      <c r="CI19" s="116">
        <v>-2.7510323259446245</v>
      </c>
      <c r="CJ19" s="116">
        <v>-2.6164852595440804</v>
      </c>
      <c r="CK19" s="116">
        <v>-2.4890755049260029</v>
      </c>
      <c r="CL19" s="116">
        <v>-2.3466653522804188</v>
      </c>
      <c r="CM19" s="116">
        <v>-2.1879791582829986</v>
      </c>
      <c r="CN19" s="116">
        <v>-2.0057205197892567</v>
      </c>
      <c r="CO19" s="116">
        <v>-1.8013140765181126</v>
      </c>
      <c r="CP19" s="116">
        <v>-1.5973928302765219</v>
      </c>
      <c r="CQ19" s="116">
        <v>-1.3959639657016707</v>
      </c>
      <c r="CR19" s="116">
        <v>-1.2153733881781974</v>
      </c>
      <c r="CS19" s="116">
        <v>-1.0398500869791514</v>
      </c>
      <c r="CT19" s="116">
        <v>-0.86548627602152151</v>
      </c>
      <c r="CU19" s="116">
        <v>-0.70380032990429153</v>
      </c>
      <c r="CV19" s="116">
        <v>-0.55782113539052591</v>
      </c>
      <c r="CW19" s="116">
        <v>-0.42883784369110139</v>
      </c>
      <c r="CX19" s="116">
        <v>-0.32265354352412273</v>
      </c>
      <c r="CY19" s="116">
        <v>-0.23499495695484426</v>
      </c>
      <c r="CZ19" s="116">
        <v>-0.16879280176493516</v>
      </c>
      <c r="DA19" s="116">
        <v>0</v>
      </c>
      <c r="DB19" s="116">
        <v>0</v>
      </c>
      <c r="DC19" s="116">
        <v>0</v>
      </c>
      <c r="DD19" s="116">
        <v>0</v>
      </c>
      <c r="DE19" s="116">
        <v>0</v>
      </c>
      <c r="DF19" s="116">
        <v>0</v>
      </c>
      <c r="DG19" s="116">
        <v>0</v>
      </c>
      <c r="DH19" s="116">
        <v>0</v>
      </c>
      <c r="DI19" s="116">
        <v>0</v>
      </c>
      <c r="DJ19" s="116">
        <v>0</v>
      </c>
      <c r="DK19" s="116">
        <v>0</v>
      </c>
      <c r="DL19" s="116">
        <v>0</v>
      </c>
      <c r="DM19" s="116">
        <v>0</v>
      </c>
      <c r="DN19" s="116">
        <v>0</v>
      </c>
      <c r="DO19" s="116">
        <v>0</v>
      </c>
      <c r="DP19" s="116">
        <v>0</v>
      </c>
      <c r="DQ19" s="116">
        <v>0</v>
      </c>
      <c r="DR19" s="116">
        <v>0</v>
      </c>
      <c r="DS19" s="116">
        <v>0</v>
      </c>
      <c r="DT19" s="116">
        <v>0</v>
      </c>
      <c r="DU19" s="116">
        <v>0</v>
      </c>
      <c r="DV19" s="116">
        <v>0</v>
      </c>
      <c r="DW19" s="116">
        <v>0</v>
      </c>
      <c r="DX19" s="116">
        <v>0</v>
      </c>
      <c r="DY19" s="116">
        <v>0</v>
      </c>
      <c r="DZ19" s="116">
        <v>0</v>
      </c>
      <c r="EA19" s="116">
        <v>0</v>
      </c>
      <c r="EB19" s="116">
        <v>0</v>
      </c>
      <c r="EC19" s="116">
        <v>0</v>
      </c>
      <c r="ED19" s="116">
        <v>0</v>
      </c>
      <c r="EE19" s="116">
        <v>0</v>
      </c>
      <c r="EF19" s="116">
        <v>0</v>
      </c>
      <c r="EG19" s="116">
        <v>0</v>
      </c>
      <c r="EH19" s="116">
        <v>0</v>
      </c>
      <c r="EI19" s="116">
        <v>0</v>
      </c>
      <c r="EJ19" s="116">
        <v>0</v>
      </c>
      <c r="EK19" s="116">
        <v>0</v>
      </c>
      <c r="EL19" s="116">
        <v>0</v>
      </c>
    </row>
    <row r="20" spans="2:142">
      <c r="B20" s="116" t="s">
        <v>142</v>
      </c>
      <c r="C20" s="116">
        <v>0</v>
      </c>
      <c r="D20" s="116">
        <v>0</v>
      </c>
      <c r="E20" s="116">
        <v>-0.36874132674294707</v>
      </c>
      <c r="F20" s="116">
        <v>-0.82244192600352917</v>
      </c>
      <c r="G20" s="116">
        <v>-1.5182863575287227</v>
      </c>
      <c r="H20" s="116">
        <v>-2.2986551947223335</v>
      </c>
      <c r="I20" s="116">
        <v>-3.9031471570526981</v>
      </c>
      <c r="J20" s="116">
        <v>-7.6034809401263779</v>
      </c>
      <c r="K20" s="116">
        <v>-14.810739859191251</v>
      </c>
      <c r="L20" s="116">
        <v>-22.1363247004263</v>
      </c>
      <c r="M20" s="116">
        <v>-27.62527003676291</v>
      </c>
      <c r="N20" s="116">
        <v>-29.556802370423188</v>
      </c>
      <c r="O20" s="116">
        <v>-25.842918847096644</v>
      </c>
      <c r="P20" s="116">
        <v>-22.904879807555908</v>
      </c>
      <c r="Q20" s="116">
        <v>-19.539839765068713</v>
      </c>
      <c r="R20" s="116">
        <v>-18.494417525382353</v>
      </c>
      <c r="S20" s="116">
        <v>-19.218595494298352</v>
      </c>
      <c r="T20" s="116">
        <v>-20.326901766992819</v>
      </c>
      <c r="U20" s="116">
        <v>-21.613118827362172</v>
      </c>
      <c r="V20" s="116">
        <v>-23.095923043633405</v>
      </c>
      <c r="W20" s="116">
        <v>-24.750165995020343</v>
      </c>
      <c r="X20" s="116">
        <v>-26.712923949393211</v>
      </c>
      <c r="Y20" s="116">
        <v>-28.914143217842671</v>
      </c>
      <c r="Z20" s="116">
        <v>-31.325443398192252</v>
      </c>
      <c r="AA20" s="116">
        <v>-33.899928108912498</v>
      </c>
      <c r="AB20" s="116">
        <v>-36.57038159297197</v>
      </c>
      <c r="AC20" s="116">
        <v>-39.419613739170607</v>
      </c>
      <c r="AD20" s="116">
        <v>-42.381252757055528</v>
      </c>
      <c r="AE20" s="116">
        <v>-45.488190224474096</v>
      </c>
      <c r="AF20" s="116">
        <v>-48.789625227650525</v>
      </c>
      <c r="AG20" s="116">
        <v>-52.178310741774567</v>
      </c>
      <c r="AH20" s="116">
        <v>-55.662559925389047</v>
      </c>
      <c r="AI20" s="116">
        <v>-59.19356076425295</v>
      </c>
      <c r="AJ20" s="116">
        <v>-62.529063889083453</v>
      </c>
      <c r="AK20" s="116">
        <v>-65.871479484126198</v>
      </c>
      <c r="AL20" s="116">
        <v>-69.141032120006116</v>
      </c>
      <c r="AM20" s="116">
        <v>-72.30586034591785</v>
      </c>
      <c r="AN20" s="116">
        <v>-75.510502564291698</v>
      </c>
      <c r="AO20" s="116">
        <v>-78.763924235649526</v>
      </c>
      <c r="AP20" s="116">
        <v>-82.046194603987118</v>
      </c>
      <c r="AQ20" s="116">
        <v>-85.264098849589502</v>
      </c>
      <c r="AR20" s="116">
        <v>-88.501689133971809</v>
      </c>
      <c r="AS20" s="116">
        <v>-91.628377861430891</v>
      </c>
      <c r="AT20" s="116">
        <v>-94.571637859643815</v>
      </c>
      <c r="AU20" s="116">
        <v>-97.30007763574433</v>
      </c>
      <c r="AV20" s="116">
        <v>-99.667809446782144</v>
      </c>
      <c r="AW20" s="116">
        <v>-101.77331759041387</v>
      </c>
      <c r="AX20" s="116">
        <v>-103.57719210386526</v>
      </c>
      <c r="AY20" s="116">
        <v>-105.0589713198511</v>
      </c>
      <c r="AZ20" s="116">
        <v>-106.23011569798422</v>
      </c>
      <c r="BA20" s="116">
        <v>-107.03967338153201</v>
      </c>
      <c r="BB20" s="116">
        <v>-107.47921309728</v>
      </c>
      <c r="BC20" s="116">
        <v>-107.6208681239991</v>
      </c>
      <c r="BD20" s="116">
        <v>-107.549217624432</v>
      </c>
      <c r="BE20" s="116">
        <v>-107.36117271526993</v>
      </c>
      <c r="BF20" s="116">
        <v>-107.04187060587046</v>
      </c>
      <c r="BG20" s="116">
        <v>-106.464843167376</v>
      </c>
      <c r="BH20" s="116">
        <v>-105.62618662537334</v>
      </c>
      <c r="BI20" s="116">
        <v>-104.45488226276343</v>
      </c>
      <c r="BJ20" s="116">
        <v>-103.00768456261</v>
      </c>
      <c r="BK20" s="116">
        <v>-101.36046519018022</v>
      </c>
      <c r="BL20" s="116">
        <v>-99.510370217877067</v>
      </c>
      <c r="BM20" s="116">
        <v>-97.469440619760263</v>
      </c>
      <c r="BN20" s="116">
        <v>-95.25785815041489</v>
      </c>
      <c r="BO20" s="116">
        <v>-92.895042852527808</v>
      </c>
      <c r="BP20" s="116">
        <v>-90.403057453691204</v>
      </c>
      <c r="BQ20" s="116">
        <v>-87.795689055977107</v>
      </c>
      <c r="BR20" s="116">
        <v>-85.131784906369958</v>
      </c>
      <c r="BS20" s="116">
        <v>-82.469407873078083</v>
      </c>
      <c r="BT20" s="116">
        <v>-79.830017779642802</v>
      </c>
      <c r="BU20" s="116">
        <v>-77.30687063910473</v>
      </c>
      <c r="BV20" s="116">
        <v>-75.010703667623702</v>
      </c>
      <c r="BW20" s="116">
        <v>-73.022226002193889</v>
      </c>
      <c r="BX20" s="116">
        <v>-71.467011029130731</v>
      </c>
      <c r="BY20" s="116">
        <v>-70.410038116174832</v>
      </c>
      <c r="BZ20" s="116">
        <v>-69.880334541846281</v>
      </c>
      <c r="CA20" s="116">
        <v>-70.002642523511014</v>
      </c>
      <c r="CB20" s="116">
        <v>-70.674032333185409</v>
      </c>
      <c r="CC20" s="116">
        <v>-71.795766093089071</v>
      </c>
      <c r="CD20" s="116">
        <v>-73.323642672865688</v>
      </c>
      <c r="CE20" s="116">
        <v>-74.975513311139025</v>
      </c>
      <c r="CF20" s="116">
        <v>-76.796531535917836</v>
      </c>
      <c r="CG20" s="116">
        <v>-78.559160750430294</v>
      </c>
      <c r="CH20" s="116">
        <v>-80.203158219354918</v>
      </c>
      <c r="CI20" s="116">
        <v>-81.855889348917074</v>
      </c>
      <c r="CJ20" s="116">
        <v>-83.269125856674037</v>
      </c>
      <c r="CK20" s="116">
        <v>-84.715068791812115</v>
      </c>
      <c r="CL20" s="116">
        <v>-85.869548972125955</v>
      </c>
      <c r="CM20" s="116">
        <v>-86.594737054642451</v>
      </c>
      <c r="CN20" s="116">
        <v>-86.812374081977737</v>
      </c>
      <c r="CO20" s="116">
        <v>-86.07374147324721</v>
      </c>
      <c r="CP20" s="116">
        <v>-84.439361023244857</v>
      </c>
      <c r="CQ20" s="116">
        <v>-81.604752740744686</v>
      </c>
      <c r="CR20" s="116">
        <v>-77.432992533705871</v>
      </c>
      <c r="CS20" s="116">
        <v>-72.342613354304561</v>
      </c>
      <c r="CT20" s="116">
        <v>-65.980981362269574</v>
      </c>
      <c r="CU20" s="116">
        <v>-59.014127906003779</v>
      </c>
      <c r="CV20" s="116">
        <v>-51.661434538142323</v>
      </c>
      <c r="CW20" s="116">
        <v>-44.061235500639469</v>
      </c>
      <c r="CX20" s="116">
        <v>-36.843906422349058</v>
      </c>
      <c r="CY20" s="116">
        <v>-29.99359657955689</v>
      </c>
      <c r="CZ20" s="116">
        <v>-24.416951684277151</v>
      </c>
      <c r="DA20" s="116">
        <v>0</v>
      </c>
      <c r="DB20" s="116">
        <v>0</v>
      </c>
      <c r="DC20" s="116">
        <v>0</v>
      </c>
      <c r="DD20" s="116">
        <v>0</v>
      </c>
      <c r="DE20" s="116">
        <v>0</v>
      </c>
      <c r="DF20" s="116">
        <v>0</v>
      </c>
      <c r="DG20" s="116">
        <v>0</v>
      </c>
      <c r="DH20" s="116">
        <v>0</v>
      </c>
      <c r="DI20" s="116">
        <v>0</v>
      </c>
      <c r="DJ20" s="116">
        <v>0</v>
      </c>
      <c r="DK20" s="116">
        <v>0</v>
      </c>
      <c r="DL20" s="116">
        <v>0</v>
      </c>
      <c r="DM20" s="116">
        <v>0</v>
      </c>
      <c r="DN20" s="116">
        <v>0</v>
      </c>
      <c r="DO20" s="116">
        <v>0</v>
      </c>
      <c r="DP20" s="116">
        <v>0</v>
      </c>
      <c r="DQ20" s="116">
        <v>0</v>
      </c>
      <c r="DR20" s="116">
        <v>0</v>
      </c>
      <c r="DS20" s="116">
        <v>0</v>
      </c>
      <c r="DT20" s="116">
        <v>0</v>
      </c>
      <c r="DU20" s="116">
        <v>0</v>
      </c>
      <c r="DV20" s="116">
        <v>0</v>
      </c>
      <c r="DW20" s="116">
        <v>0</v>
      </c>
      <c r="DX20" s="116">
        <v>0</v>
      </c>
      <c r="DY20" s="116">
        <v>0</v>
      </c>
      <c r="DZ20" s="116">
        <v>0</v>
      </c>
      <c r="EA20" s="116">
        <v>0</v>
      </c>
      <c r="EB20" s="116">
        <v>0</v>
      </c>
      <c r="EC20" s="116">
        <v>0</v>
      </c>
      <c r="ED20" s="116">
        <v>0</v>
      </c>
      <c r="EE20" s="116">
        <v>0</v>
      </c>
      <c r="EF20" s="116">
        <v>0</v>
      </c>
      <c r="EG20" s="116">
        <v>0</v>
      </c>
      <c r="EH20" s="116">
        <v>0</v>
      </c>
      <c r="EI20" s="116">
        <v>0</v>
      </c>
      <c r="EJ20" s="116">
        <v>0</v>
      </c>
      <c r="EK20" s="116">
        <v>0</v>
      </c>
      <c r="EL20" s="116">
        <v>0</v>
      </c>
    </row>
    <row r="21" spans="2:142">
      <c r="B21" s="116" t="s">
        <v>141</v>
      </c>
      <c r="C21" s="116">
        <v>0</v>
      </c>
      <c r="D21" s="116">
        <v>-4.2849300000000001</v>
      </c>
      <c r="E21" s="116">
        <v>-7.3197967371043067</v>
      </c>
      <c r="F21" s="116">
        <v>-10.37125925253379</v>
      </c>
      <c r="G21" s="116">
        <v>-13.556189105214585</v>
      </c>
      <c r="H21" s="116">
        <v>-9.2392414580650133</v>
      </c>
      <c r="I21" s="116">
        <v>-7.0743541475436711</v>
      </c>
      <c r="J21" s="116">
        <v>-5.005717512879837</v>
      </c>
      <c r="K21" s="116">
        <v>-2.6230976799801393</v>
      </c>
      <c r="L21" s="116">
        <v>-4.0364751828813292E-5</v>
      </c>
      <c r="M21" s="116">
        <v>0</v>
      </c>
      <c r="N21" s="116">
        <v>0</v>
      </c>
      <c r="O21" s="116">
        <v>0</v>
      </c>
      <c r="P21" s="116">
        <v>0</v>
      </c>
      <c r="Q21" s="116">
        <v>0</v>
      </c>
      <c r="R21" s="116">
        <v>0</v>
      </c>
      <c r="S21" s="116">
        <v>0</v>
      </c>
      <c r="T21" s="116">
        <v>0</v>
      </c>
      <c r="U21" s="116">
        <v>0</v>
      </c>
      <c r="V21" s="116">
        <v>0</v>
      </c>
      <c r="W21" s="116">
        <v>0</v>
      </c>
      <c r="X21" s="116">
        <v>0</v>
      </c>
      <c r="Y21" s="116">
        <v>0</v>
      </c>
      <c r="Z21" s="116">
        <v>0</v>
      </c>
      <c r="AA21" s="116">
        <v>0</v>
      </c>
      <c r="AB21" s="116">
        <v>0</v>
      </c>
      <c r="AC21" s="116">
        <v>0</v>
      </c>
      <c r="AD21" s="116">
        <v>0</v>
      </c>
      <c r="AE21" s="116">
        <v>0</v>
      </c>
      <c r="AF21" s="116">
        <v>0</v>
      </c>
      <c r="AG21" s="116">
        <v>0</v>
      </c>
      <c r="AH21" s="116">
        <v>0</v>
      </c>
      <c r="AI21" s="116">
        <v>0</v>
      </c>
      <c r="AJ21" s="116">
        <v>0</v>
      </c>
      <c r="AK21" s="116">
        <v>0</v>
      </c>
      <c r="AL21" s="116">
        <v>0</v>
      </c>
      <c r="AM21" s="116">
        <v>0</v>
      </c>
      <c r="AN21" s="116">
        <v>0</v>
      </c>
      <c r="AO21" s="116">
        <v>0</v>
      </c>
      <c r="AP21" s="116">
        <v>0</v>
      </c>
      <c r="AQ21" s="116">
        <v>0</v>
      </c>
      <c r="AR21" s="116">
        <v>0</v>
      </c>
      <c r="AS21" s="116">
        <v>0</v>
      </c>
      <c r="AT21" s="116">
        <v>0</v>
      </c>
      <c r="AU21" s="116">
        <v>0</v>
      </c>
      <c r="AV21" s="116">
        <v>0</v>
      </c>
      <c r="AW21" s="116">
        <v>0</v>
      </c>
      <c r="AX21" s="116">
        <v>0</v>
      </c>
      <c r="AY21" s="116">
        <v>0</v>
      </c>
      <c r="AZ21" s="116">
        <v>0</v>
      </c>
      <c r="BA21" s="116">
        <v>0</v>
      </c>
      <c r="BB21" s="116">
        <v>0</v>
      </c>
      <c r="BC21" s="116">
        <v>0</v>
      </c>
      <c r="BD21" s="116">
        <v>0</v>
      </c>
      <c r="BE21" s="116">
        <v>0</v>
      </c>
      <c r="BF21" s="116">
        <v>0</v>
      </c>
      <c r="BG21" s="116">
        <v>0</v>
      </c>
      <c r="BH21" s="116">
        <v>0</v>
      </c>
      <c r="BI21" s="116">
        <v>0</v>
      </c>
      <c r="BJ21" s="116">
        <v>0</v>
      </c>
      <c r="BK21" s="116">
        <v>0</v>
      </c>
      <c r="BL21" s="116">
        <v>0</v>
      </c>
      <c r="BM21" s="116">
        <v>0</v>
      </c>
      <c r="BN21" s="116">
        <v>0</v>
      </c>
      <c r="BO21" s="116">
        <v>0</v>
      </c>
      <c r="BP21" s="116">
        <v>0</v>
      </c>
      <c r="BQ21" s="116">
        <v>0</v>
      </c>
      <c r="BR21" s="116">
        <v>0</v>
      </c>
      <c r="BS21" s="116">
        <v>0</v>
      </c>
      <c r="BT21" s="116">
        <v>0</v>
      </c>
      <c r="BU21" s="116">
        <v>0</v>
      </c>
      <c r="BV21" s="116">
        <v>0</v>
      </c>
      <c r="BW21" s="116">
        <v>0</v>
      </c>
      <c r="BX21" s="116">
        <v>0</v>
      </c>
      <c r="BY21" s="116">
        <v>0</v>
      </c>
      <c r="BZ21" s="116">
        <v>0</v>
      </c>
      <c r="CA21" s="116">
        <v>0</v>
      </c>
      <c r="CB21" s="116">
        <v>0</v>
      </c>
      <c r="CC21" s="116">
        <v>0</v>
      </c>
      <c r="CD21" s="116">
        <v>0</v>
      </c>
      <c r="CE21" s="116">
        <v>0</v>
      </c>
      <c r="CF21" s="116">
        <v>0</v>
      </c>
      <c r="CG21" s="116">
        <v>0</v>
      </c>
      <c r="CH21" s="116">
        <v>0</v>
      </c>
      <c r="CI21" s="116">
        <v>0</v>
      </c>
      <c r="CJ21" s="116">
        <v>0</v>
      </c>
      <c r="CK21" s="116">
        <v>0</v>
      </c>
      <c r="CL21" s="116">
        <v>0</v>
      </c>
      <c r="CM21" s="116">
        <v>0</v>
      </c>
      <c r="CN21" s="116">
        <v>0</v>
      </c>
      <c r="CO21" s="116">
        <v>0</v>
      </c>
      <c r="CP21" s="116">
        <v>0</v>
      </c>
      <c r="CQ21" s="116">
        <v>0</v>
      </c>
      <c r="CR21" s="116">
        <v>0</v>
      </c>
      <c r="CS21" s="116">
        <v>0</v>
      </c>
      <c r="CT21" s="116">
        <v>0</v>
      </c>
      <c r="CU21" s="116">
        <v>0</v>
      </c>
      <c r="CV21" s="116">
        <v>0</v>
      </c>
      <c r="CW21" s="116">
        <v>0</v>
      </c>
      <c r="CX21" s="116">
        <v>0</v>
      </c>
      <c r="CY21" s="116">
        <v>0</v>
      </c>
      <c r="CZ21" s="116">
        <v>0</v>
      </c>
      <c r="DA21" s="116">
        <v>0</v>
      </c>
      <c r="DB21" s="116">
        <v>0</v>
      </c>
      <c r="DC21" s="116">
        <v>0</v>
      </c>
      <c r="DD21" s="116">
        <v>0</v>
      </c>
      <c r="DE21" s="116">
        <v>0</v>
      </c>
      <c r="DF21" s="116">
        <v>0</v>
      </c>
      <c r="DG21" s="116">
        <v>0</v>
      </c>
      <c r="DH21" s="116">
        <v>0</v>
      </c>
      <c r="DI21" s="116">
        <v>0</v>
      </c>
      <c r="DJ21" s="116">
        <v>0</v>
      </c>
      <c r="DK21" s="116">
        <v>0</v>
      </c>
      <c r="DL21" s="116">
        <v>0</v>
      </c>
      <c r="DM21" s="116">
        <v>0</v>
      </c>
      <c r="DN21" s="116">
        <v>0</v>
      </c>
      <c r="DO21" s="116">
        <v>0</v>
      </c>
      <c r="DP21" s="116">
        <v>0</v>
      </c>
      <c r="DQ21" s="116">
        <v>0</v>
      </c>
      <c r="DR21" s="116">
        <v>0</v>
      </c>
      <c r="DS21" s="116">
        <v>0</v>
      </c>
      <c r="DT21" s="116">
        <v>0</v>
      </c>
      <c r="DU21" s="116">
        <v>0</v>
      </c>
      <c r="DV21" s="116">
        <v>0</v>
      </c>
      <c r="DW21" s="116">
        <v>0</v>
      </c>
      <c r="DX21" s="116">
        <v>0</v>
      </c>
      <c r="DY21" s="116">
        <v>0</v>
      </c>
      <c r="DZ21" s="116">
        <v>0</v>
      </c>
      <c r="EA21" s="116">
        <v>0</v>
      </c>
      <c r="EB21" s="116">
        <v>0</v>
      </c>
      <c r="EC21" s="116">
        <v>0</v>
      </c>
      <c r="ED21" s="116">
        <v>0</v>
      </c>
      <c r="EE21" s="116">
        <v>0</v>
      </c>
      <c r="EF21" s="116">
        <v>0</v>
      </c>
      <c r="EG21" s="116">
        <v>0</v>
      </c>
      <c r="EH21" s="116">
        <v>0</v>
      </c>
      <c r="EI21" s="116">
        <v>0</v>
      </c>
      <c r="EJ21" s="116">
        <v>0</v>
      </c>
      <c r="EK21" s="116">
        <v>0</v>
      </c>
      <c r="EL21" s="116">
        <v>0</v>
      </c>
    </row>
    <row r="22" spans="2:142">
      <c r="B22" s="116" t="s">
        <v>140</v>
      </c>
      <c r="C22" s="116">
        <v>0</v>
      </c>
      <c r="D22" s="116">
        <v>2.2821549768525611E-4</v>
      </c>
      <c r="E22" s="116">
        <v>3.1081615481543684E-4</v>
      </c>
      <c r="F22" s="116">
        <v>3.2681784383431099E-4</v>
      </c>
      <c r="G22" s="116">
        <v>3.4716880364299782E-4</v>
      </c>
      <c r="H22" s="116">
        <v>3.9711443145826398E-4</v>
      </c>
      <c r="I22" s="116">
        <v>4.3653201205146573E-4</v>
      </c>
      <c r="J22" s="116">
        <v>6.1935907230428364E-4</v>
      </c>
      <c r="K22" s="116">
        <v>6.2181705972684702E-3</v>
      </c>
      <c r="L22" s="116">
        <v>-2.7635878422131E-4</v>
      </c>
      <c r="M22" s="116">
        <v>1.0882684435947936E-3</v>
      </c>
      <c r="N22" s="116">
        <v>2.1739012564322971E-3</v>
      </c>
      <c r="O22" s="116">
        <v>3.5455976115879402E-3</v>
      </c>
      <c r="P22" s="116">
        <v>5.336646397470386E-3</v>
      </c>
      <c r="Q22" s="116">
        <v>3.7896108298634732E-3</v>
      </c>
      <c r="R22" s="116">
        <v>2.6255829439086288E-3</v>
      </c>
      <c r="S22" s="116">
        <v>2.526745380955835E-3</v>
      </c>
      <c r="T22" s="116">
        <v>2.5377971156550268E-3</v>
      </c>
      <c r="U22" s="116">
        <v>2.5505245318539387E-3</v>
      </c>
      <c r="V22" s="116">
        <v>2.5632356473109701E-3</v>
      </c>
      <c r="W22" s="116">
        <v>2.5765194488668488E-3</v>
      </c>
      <c r="X22" s="116">
        <v>2.763162646288027E-3</v>
      </c>
      <c r="Y22" s="116">
        <v>2.9691898748477313E-3</v>
      </c>
      <c r="Z22" s="116">
        <v>3.1805507122821576E-3</v>
      </c>
      <c r="AA22" s="116">
        <v>3.3897399137476402E-3</v>
      </c>
      <c r="AB22" s="116">
        <v>3.3574903765600543E-3</v>
      </c>
      <c r="AC22" s="116">
        <v>3.4987803324927251E-3</v>
      </c>
      <c r="AD22" s="116">
        <v>3.6882778003975158E-3</v>
      </c>
      <c r="AE22" s="116">
        <v>3.9234524063368375E-3</v>
      </c>
      <c r="AF22" s="116">
        <v>4.1977756388223448E-3</v>
      </c>
      <c r="AG22" s="116">
        <v>4.2208594660107651E-3</v>
      </c>
      <c r="AH22" s="116">
        <v>4.3890660722593899E-3</v>
      </c>
      <c r="AI22" s="116">
        <v>4.59017457029529E-3</v>
      </c>
      <c r="AJ22" s="116">
        <v>4.8159958471428984E-3</v>
      </c>
      <c r="AK22" s="116">
        <v>5.0600747290175004E-3</v>
      </c>
      <c r="AL22" s="116">
        <v>5.1274056052316944E-3</v>
      </c>
      <c r="AM22" s="116">
        <v>5.2003349366899192E-3</v>
      </c>
      <c r="AN22" s="116">
        <v>5.2785423091387821E-3</v>
      </c>
      <c r="AO22" s="116">
        <v>5.3605369435377661E-3</v>
      </c>
      <c r="AP22" s="116">
        <v>5.4442513950627635E-3</v>
      </c>
      <c r="AQ22" s="116">
        <v>5.5282615335394006E-3</v>
      </c>
      <c r="AR22" s="116">
        <v>5.6124594685612351E-3</v>
      </c>
      <c r="AS22" s="116">
        <v>5.6945335974937202E-3</v>
      </c>
      <c r="AT22" s="116">
        <v>5.7747138015412465E-3</v>
      </c>
      <c r="AU22" s="116">
        <v>5.8521040626803075E-3</v>
      </c>
      <c r="AV22" s="116">
        <v>5.9252057146500416E-3</v>
      </c>
      <c r="AW22" s="116">
        <v>5.9956796644262773E-3</v>
      </c>
      <c r="AX22" s="116">
        <v>6.0635292645590273E-3</v>
      </c>
      <c r="AY22" s="116">
        <v>6.1292228805457649E-3</v>
      </c>
      <c r="AZ22" s="116">
        <v>6.1911442291479575E-3</v>
      </c>
      <c r="BA22" s="116">
        <v>6.2492573764631526E-3</v>
      </c>
      <c r="BB22" s="116">
        <v>6.3042501816304745E-3</v>
      </c>
      <c r="BC22" s="116">
        <v>6.3561632911584669E-3</v>
      </c>
      <c r="BD22" s="116">
        <v>6.4042735032523133E-3</v>
      </c>
      <c r="BE22" s="116">
        <v>6.444944403432796E-3</v>
      </c>
      <c r="BF22" s="116">
        <v>6.4780446775714075E-3</v>
      </c>
      <c r="BG22" s="116">
        <v>6.5004817216406359E-3</v>
      </c>
      <c r="BH22" s="116">
        <v>6.5109335028085604E-3</v>
      </c>
      <c r="BI22" s="116">
        <v>6.5111631237812547E-3</v>
      </c>
      <c r="BJ22" s="116">
        <v>6.4987404339006162E-3</v>
      </c>
      <c r="BK22" s="116">
        <v>6.4721553432462546E-3</v>
      </c>
      <c r="BL22" s="116">
        <v>6.4298215792290012E-3</v>
      </c>
      <c r="BM22" s="116">
        <v>6.3748065069867887E-3</v>
      </c>
      <c r="BN22" s="116">
        <v>6.30684415667878E-3</v>
      </c>
      <c r="BO22" s="116">
        <v>6.2280043761684216E-3</v>
      </c>
      <c r="BP22" s="116">
        <v>6.1435325142805766E-3</v>
      </c>
      <c r="BQ22" s="116">
        <v>6.0502610285500871E-3</v>
      </c>
      <c r="BR22" s="116">
        <v>5.9515805598635086E-3</v>
      </c>
      <c r="BS22" s="116">
        <v>5.8481246890240311E-3</v>
      </c>
      <c r="BT22" s="116">
        <v>5.7431570444924623E-3</v>
      </c>
      <c r="BU22" s="116">
        <v>5.638560632005369E-3</v>
      </c>
      <c r="BV22" s="116">
        <v>5.5350902729164849E-3</v>
      </c>
      <c r="BW22" s="116">
        <v>5.4365255107214627E-3</v>
      </c>
      <c r="BX22" s="116">
        <v>5.3399801777358914E-3</v>
      </c>
      <c r="BY22" s="116">
        <v>5.2445170875990771E-3</v>
      </c>
      <c r="BZ22" s="116">
        <v>5.1464358020848278E-3</v>
      </c>
      <c r="CA22" s="116">
        <v>5.0387680680114349E-3</v>
      </c>
      <c r="CB22" s="116">
        <v>4.9228568741374896E-3</v>
      </c>
      <c r="CC22" s="116">
        <v>4.7986819230287098E-3</v>
      </c>
      <c r="CD22" s="116">
        <v>4.6693297030405796E-3</v>
      </c>
      <c r="CE22" s="116">
        <v>4.541453879697158E-3</v>
      </c>
      <c r="CF22" s="116">
        <v>4.4176693920250729E-3</v>
      </c>
      <c r="CG22" s="116">
        <v>4.3014304941760744E-3</v>
      </c>
      <c r="CH22" s="116">
        <v>4.1962421578278543E-3</v>
      </c>
      <c r="CI22" s="116">
        <v>4.1061712598949897E-3</v>
      </c>
      <c r="CJ22" s="116">
        <v>4.0309725418334738E-3</v>
      </c>
      <c r="CK22" s="116">
        <v>3.9696632742518287E-3</v>
      </c>
      <c r="CL22" s="116">
        <v>3.9195530367099928E-3</v>
      </c>
      <c r="CM22" s="116">
        <v>3.8804735803785215E-3</v>
      </c>
      <c r="CN22" s="116">
        <v>3.8500825425651537E-3</v>
      </c>
      <c r="CO22" s="116">
        <v>3.8280689382654445E-3</v>
      </c>
      <c r="CP22" s="116">
        <v>3.8110643526992195E-3</v>
      </c>
      <c r="CQ22" s="116">
        <v>3.7947229553622129E-3</v>
      </c>
      <c r="CR22" s="116">
        <v>3.7829622701811014E-3</v>
      </c>
      <c r="CS22" s="116">
        <v>3.7814747271655417E-3</v>
      </c>
      <c r="CT22" s="116">
        <v>3.7890682826190931E-3</v>
      </c>
      <c r="CU22" s="116">
        <v>3.8096210809990868E-3</v>
      </c>
      <c r="CV22" s="116">
        <v>3.8446764868608086E-3</v>
      </c>
      <c r="CW22" s="116">
        <v>3.8921307221993183E-3</v>
      </c>
      <c r="CX22" s="116">
        <v>3.9628094864930536E-3</v>
      </c>
      <c r="CY22" s="116">
        <v>4.0481258939011827E-3</v>
      </c>
      <c r="CZ22" s="116">
        <v>4.1569580076415971E-3</v>
      </c>
      <c r="DA22" s="116">
        <v>0</v>
      </c>
      <c r="DB22" s="116">
        <v>0</v>
      </c>
      <c r="DC22" s="116">
        <v>0</v>
      </c>
      <c r="DD22" s="116">
        <v>0</v>
      </c>
      <c r="DE22" s="116">
        <v>0</v>
      </c>
      <c r="DF22" s="116">
        <v>0</v>
      </c>
      <c r="DG22" s="116">
        <v>0</v>
      </c>
      <c r="DH22" s="116">
        <v>0</v>
      </c>
      <c r="DI22" s="116">
        <v>0</v>
      </c>
      <c r="DJ22" s="116">
        <v>0</v>
      </c>
      <c r="DK22" s="116">
        <v>0</v>
      </c>
      <c r="DL22" s="116">
        <v>0</v>
      </c>
      <c r="DM22" s="116">
        <v>0</v>
      </c>
      <c r="DN22" s="116">
        <v>0</v>
      </c>
      <c r="DO22" s="116">
        <v>0</v>
      </c>
      <c r="DP22" s="116">
        <v>0</v>
      </c>
      <c r="DQ22" s="116">
        <v>0</v>
      </c>
      <c r="DR22" s="116">
        <v>0</v>
      </c>
      <c r="DS22" s="116">
        <v>0</v>
      </c>
      <c r="DT22" s="116">
        <v>0</v>
      </c>
      <c r="DU22" s="116">
        <v>0</v>
      </c>
      <c r="DV22" s="116">
        <v>0</v>
      </c>
      <c r="DW22" s="116">
        <v>0</v>
      </c>
      <c r="DX22" s="116">
        <v>0</v>
      </c>
      <c r="DY22" s="116">
        <v>0</v>
      </c>
      <c r="DZ22" s="116">
        <v>0</v>
      </c>
      <c r="EA22" s="116">
        <v>0</v>
      </c>
      <c r="EB22" s="116">
        <v>0</v>
      </c>
      <c r="EC22" s="116">
        <v>0</v>
      </c>
      <c r="ED22" s="116">
        <v>0</v>
      </c>
      <c r="EE22" s="116">
        <v>0</v>
      </c>
      <c r="EF22" s="116">
        <v>0</v>
      </c>
      <c r="EG22" s="116">
        <v>0</v>
      </c>
      <c r="EH22" s="116">
        <v>0</v>
      </c>
      <c r="EI22" s="116">
        <v>0</v>
      </c>
      <c r="EJ22" s="116">
        <v>0</v>
      </c>
      <c r="EK22" s="116">
        <v>0</v>
      </c>
      <c r="EL22" s="116">
        <v>0</v>
      </c>
    </row>
    <row r="23" spans="2:142" s="118" customFormat="1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Yield Curve_USD_workflow</vt:lpstr>
      <vt:lpstr>Input Table -&gt;</vt:lpstr>
      <vt:lpstr>AssetAssump</vt:lpstr>
      <vt:lpstr>InititalAssetMix</vt:lpstr>
      <vt:lpstr>OtherAssump</vt:lpstr>
      <vt:lpstr>ExisitngBond</vt:lpstr>
      <vt:lpstr>LiabilityCF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尹越莉</dc:creator>
  <cp:lastModifiedBy>尹越莉</cp:lastModifiedBy>
  <dcterms:created xsi:type="dcterms:W3CDTF">2026-08-28T09:46:53Z</dcterms:created>
  <dcterms:modified xsi:type="dcterms:W3CDTF">2026-09-23T07:12:03Z</dcterms:modified>
</cp:coreProperties>
</file>